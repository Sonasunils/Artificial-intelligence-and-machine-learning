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ov\Downloads\"/>
    </mc:Choice>
  </mc:AlternateContent>
  <xr:revisionPtr revIDLastSave="0" documentId="13_ncr:1_{1E01CFC2-BC18-4432-8EC7-DEA5847702F5}" xr6:coauthVersionLast="47" xr6:coauthVersionMax="47" xr10:uidLastSave="{00000000-0000-0000-0000-000000000000}"/>
  <bookViews>
    <workbookView xWindow="-108" yWindow="-108" windowWidth="23256" windowHeight="12456" xr2:uid="{1BD029E5-942D-4296-B880-3D8EEEFC52FB}"/>
  </bookViews>
  <sheets>
    <sheet name="Sheet2" sheetId="2" r:id="rId1"/>
    <sheet name="Sheet1" sheetId="1" r:id="rId2"/>
  </sheets>
  <definedNames>
    <definedName name="_xlnm._FilterDatabase" localSheetId="1" hidden="1">Sheet1!$A$1:$G$16</definedName>
    <definedName name="_xlnm.Criteria" localSheetId="1">Sheet1!$J$14:$K$16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M5" i="1"/>
  <c r="M10" i="1"/>
  <c r="M3" i="1"/>
  <c r="U3" i="1"/>
</calcChain>
</file>

<file path=xl/sharedStrings.xml><?xml version="1.0" encoding="utf-8"?>
<sst xmlns="http://schemas.openxmlformats.org/spreadsheetml/2006/main" count="120" uniqueCount="90">
  <si>
    <t>Emp ID</t>
  </si>
  <si>
    <t>Name</t>
  </si>
  <si>
    <t>Department</t>
  </si>
  <si>
    <t>City</t>
  </si>
  <si>
    <t>Salary</t>
  </si>
  <si>
    <t>Experience</t>
  </si>
  <si>
    <t>Rating</t>
  </si>
  <si>
    <t>E101</t>
  </si>
  <si>
    <t>Rahul</t>
  </si>
  <si>
    <t>HR</t>
  </si>
  <si>
    <t>Delhi</t>
  </si>
  <si>
    <t>A</t>
  </si>
  <si>
    <t>E102</t>
  </si>
  <si>
    <t>Priya</t>
  </si>
  <si>
    <t>IT</t>
  </si>
  <si>
    <t>Kochi</t>
  </si>
  <si>
    <t>B</t>
  </si>
  <si>
    <t>E103</t>
  </si>
  <si>
    <t>Arjun</t>
  </si>
  <si>
    <t>Finance</t>
  </si>
  <si>
    <t>Chennai</t>
  </si>
  <si>
    <t>E104</t>
  </si>
  <si>
    <t>Sneha</t>
  </si>
  <si>
    <t>Sales</t>
  </si>
  <si>
    <t>Bangalore</t>
  </si>
  <si>
    <t>C</t>
  </si>
  <si>
    <t>E105</t>
  </si>
  <si>
    <t>Nikhil</t>
  </si>
  <si>
    <t>Mumbai</t>
  </si>
  <si>
    <t>E106</t>
  </si>
  <si>
    <t>Asha</t>
  </si>
  <si>
    <t>Pune</t>
  </si>
  <si>
    <t>E107</t>
  </si>
  <si>
    <t>Vivek</t>
  </si>
  <si>
    <t>E108</t>
  </si>
  <si>
    <t>Meera</t>
  </si>
  <si>
    <t>E109</t>
  </si>
  <si>
    <t>Kiran</t>
  </si>
  <si>
    <t>Hyderabad</t>
  </si>
  <si>
    <t>E110</t>
  </si>
  <si>
    <t>Anu</t>
  </si>
  <si>
    <t>Marketing</t>
  </si>
  <si>
    <t>E111</t>
  </si>
  <si>
    <t>Riya</t>
  </si>
  <si>
    <t>E112</t>
  </si>
  <si>
    <t>Manu</t>
  </si>
  <si>
    <t>E113</t>
  </si>
  <si>
    <t>Akash</t>
  </si>
  <si>
    <t>E114</t>
  </si>
  <si>
    <t>Deepa</t>
  </si>
  <si>
    <t>E115</t>
  </si>
  <si>
    <t>Neha</t>
  </si>
  <si>
    <t>VLOOKUP (10 Questions)</t>
  </si>
  <si>
    <r>
      <t xml:space="preserve">1. Find the salary of Emp ID </t>
    </r>
    <r>
      <rPr>
        <b/>
        <sz val="11"/>
        <color theme="1"/>
        <rFont val="Calibri"/>
        <family val="2"/>
        <scheme val="minor"/>
      </rPr>
      <t>E108</t>
    </r>
    <r>
      <rPr>
        <sz val="11"/>
        <color theme="1"/>
        <rFont val="Calibri"/>
        <family val="2"/>
        <scheme val="minor"/>
      </rPr>
      <t>.</t>
    </r>
  </si>
  <si>
    <r>
      <t xml:space="preserve">2. Find the department of </t>
    </r>
    <r>
      <rPr>
        <b/>
        <sz val="11"/>
        <color theme="1"/>
        <rFont val="Calibri"/>
        <family val="2"/>
        <scheme val="minor"/>
      </rPr>
      <t>E114</t>
    </r>
    <r>
      <rPr>
        <sz val="11"/>
        <color theme="1"/>
        <rFont val="Calibri"/>
        <family val="2"/>
        <scheme val="minor"/>
      </rPr>
      <t>.</t>
    </r>
  </si>
  <si>
    <r>
      <t xml:space="preserve">4. Find the rating of </t>
    </r>
    <r>
      <rPr>
        <b/>
        <sz val="11"/>
        <color theme="1"/>
        <rFont val="Calibri"/>
        <family val="2"/>
        <scheme val="minor"/>
      </rPr>
      <t>E111</t>
    </r>
    <r>
      <rPr>
        <sz val="11"/>
        <color theme="1"/>
        <rFont val="Calibri"/>
        <family val="2"/>
        <scheme val="minor"/>
      </rPr>
      <t>.</t>
    </r>
  </si>
  <si>
    <r>
      <t xml:space="preserve">5. Find the experience of </t>
    </r>
    <r>
      <rPr>
        <b/>
        <sz val="11"/>
        <color theme="1"/>
        <rFont val="Calibri"/>
        <family val="2"/>
        <scheme val="minor"/>
      </rPr>
      <t>E109</t>
    </r>
    <r>
      <rPr>
        <sz val="11"/>
        <color theme="1"/>
        <rFont val="Calibri"/>
        <family val="2"/>
        <scheme val="minor"/>
      </rPr>
      <t>.</t>
    </r>
  </si>
  <si>
    <t>HLOOKUP (8 Questions)</t>
  </si>
  <si>
    <t>1. Find Laptop sales in March.</t>
  </si>
  <si>
    <t>2. Find Mobile sales in May.</t>
  </si>
  <si>
    <t>3. Find Mouse sales in February.</t>
  </si>
  <si>
    <t>4. Find Printer sales in June.</t>
  </si>
  <si>
    <t>5. Find Laptop sales in January.</t>
  </si>
  <si>
    <t>6. Find Mobile sales in April.</t>
  </si>
  <si>
    <t>7. Find Printer sales in March.</t>
  </si>
  <si>
    <t>8. Find Mouse sales in May.</t>
  </si>
  <si>
    <t>XLOOKUP (10 Questions)</t>
  </si>
  <si>
    <r>
      <t xml:space="preserve">1. Find salary using employee name </t>
    </r>
    <r>
      <rPr>
        <b/>
        <sz val="11"/>
        <color theme="1"/>
        <rFont val="Calibri"/>
        <family val="2"/>
        <scheme val="minor"/>
      </rPr>
      <t>Priya</t>
    </r>
    <r>
      <rPr>
        <sz val="11"/>
        <color theme="1"/>
        <rFont val="Calibri"/>
        <family val="2"/>
        <scheme val="minor"/>
      </rPr>
      <t>.</t>
    </r>
  </si>
  <si>
    <r>
      <t xml:space="preserve">2. Find city using employee name </t>
    </r>
    <r>
      <rPr>
        <b/>
        <sz val="11"/>
        <color theme="1"/>
        <rFont val="Calibri"/>
        <family val="2"/>
        <scheme val="minor"/>
      </rPr>
      <t>Arjun</t>
    </r>
    <r>
      <rPr>
        <sz val="11"/>
        <color theme="1"/>
        <rFont val="Calibri"/>
        <family val="2"/>
        <scheme val="minor"/>
      </rPr>
      <t>.</t>
    </r>
  </si>
  <si>
    <r>
      <t xml:space="preserve">3. Find department using employee name </t>
    </r>
    <r>
      <rPr>
        <b/>
        <sz val="11"/>
        <color theme="1"/>
        <rFont val="Calibri"/>
        <family val="2"/>
        <scheme val="minor"/>
      </rPr>
      <t>Sneha</t>
    </r>
    <r>
      <rPr>
        <sz val="11"/>
        <color theme="1"/>
        <rFont val="Calibri"/>
        <family val="2"/>
        <scheme val="minor"/>
      </rPr>
      <t>.</t>
    </r>
  </si>
  <si>
    <t>Product</t>
  </si>
  <si>
    <t>Laptop</t>
  </si>
  <si>
    <t>Mouse</t>
  </si>
  <si>
    <t>Printer</t>
  </si>
  <si>
    <t>Jan</t>
  </si>
  <si>
    <t>Feb</t>
  </si>
  <si>
    <t>Mar</t>
  </si>
  <si>
    <t>Apr</t>
  </si>
  <si>
    <t>May</t>
  </si>
  <si>
    <t>Jun</t>
  </si>
  <si>
    <t>Mobile</t>
  </si>
  <si>
    <r>
      <t xml:space="preserve">6. Find the name of employee </t>
    </r>
    <r>
      <rPr>
        <b/>
        <sz val="11"/>
        <color theme="1"/>
        <rFont val="Calibri"/>
        <family val="2"/>
        <scheme val="minor"/>
      </rPr>
      <t>E113</t>
    </r>
    <r>
      <rPr>
        <sz val="11"/>
        <color theme="1"/>
        <rFont val="Calibri"/>
        <family val="2"/>
        <scheme val="minor"/>
      </rPr>
      <t>.</t>
    </r>
  </si>
  <si>
    <r>
      <t xml:space="preserve">7. Find salary of </t>
    </r>
    <r>
      <rPr>
        <b/>
        <sz val="11"/>
        <color theme="1"/>
        <rFont val="Calibri"/>
        <family val="2"/>
        <scheme val="minor"/>
      </rPr>
      <t>E101</t>
    </r>
    <r>
      <rPr>
        <sz val="11"/>
        <color theme="1"/>
        <rFont val="Calibri"/>
        <family val="2"/>
        <scheme val="minor"/>
      </rPr>
      <t>.</t>
    </r>
  </si>
  <si>
    <r>
      <t xml:space="preserve">8. Find department of </t>
    </r>
    <r>
      <rPr>
        <b/>
        <sz val="11"/>
        <color theme="1"/>
        <rFont val="Calibri"/>
        <family val="2"/>
        <scheme val="minor"/>
      </rPr>
      <t>E115</t>
    </r>
    <r>
      <rPr>
        <sz val="11"/>
        <color theme="1"/>
        <rFont val="Calibri"/>
        <family val="2"/>
        <scheme val="minor"/>
      </rPr>
      <t>.</t>
    </r>
  </si>
  <si>
    <r>
      <t xml:space="preserve">4. Find rating using employee name </t>
    </r>
    <r>
      <rPr>
        <b/>
        <sz val="11"/>
        <color theme="1"/>
        <rFont val="Calibri"/>
        <family val="2"/>
        <scheme val="minor"/>
      </rPr>
      <t>Deepa</t>
    </r>
    <r>
      <rPr>
        <sz val="11"/>
        <color theme="1"/>
        <rFont val="Calibri"/>
        <family val="2"/>
        <scheme val="minor"/>
      </rPr>
      <t>.</t>
    </r>
  </si>
  <si>
    <r>
      <t xml:space="preserve">5. Find experience using employee name </t>
    </r>
    <r>
      <rPr>
        <b/>
        <sz val="11"/>
        <color theme="1"/>
        <rFont val="Calibri"/>
        <family val="2"/>
        <scheme val="minor"/>
      </rPr>
      <t>Nikhil</t>
    </r>
    <r>
      <rPr>
        <sz val="11"/>
        <color theme="1"/>
        <rFont val="Calibri"/>
        <family val="2"/>
        <scheme val="minor"/>
      </rPr>
      <t>.</t>
    </r>
  </si>
  <si>
    <r>
      <t xml:space="preserve">6. Find salary using employee name </t>
    </r>
    <r>
      <rPr>
        <b/>
        <sz val="11"/>
        <color theme="1"/>
        <rFont val="Calibri"/>
        <family val="2"/>
        <scheme val="minor"/>
      </rPr>
      <t>Meera</t>
    </r>
    <r>
      <rPr>
        <sz val="11"/>
        <color theme="1"/>
        <rFont val="Calibri"/>
        <family val="2"/>
        <scheme val="minor"/>
      </rPr>
      <t>.</t>
    </r>
  </si>
  <si>
    <r>
      <t xml:space="preserve">7. Find department using employee name </t>
    </r>
    <r>
      <rPr>
        <b/>
        <sz val="11"/>
        <color theme="1"/>
        <rFont val="Calibri"/>
        <family val="2"/>
        <scheme val="minor"/>
      </rPr>
      <t>Anu</t>
    </r>
    <r>
      <rPr>
        <sz val="11"/>
        <color theme="1"/>
        <rFont val="Calibri"/>
        <family val="2"/>
        <scheme val="minor"/>
      </rPr>
      <t>.</t>
    </r>
  </si>
  <si>
    <r>
      <t xml:space="preserve">8. Find city using employee name </t>
    </r>
    <r>
      <rPr>
        <b/>
        <sz val="11"/>
        <color theme="1"/>
        <rFont val="Calibri"/>
        <family val="2"/>
        <scheme val="minor"/>
      </rPr>
      <t>Rahul</t>
    </r>
    <r>
      <rPr>
        <sz val="11"/>
        <color theme="1"/>
        <rFont val="Calibri"/>
        <family val="2"/>
        <scheme val="minor"/>
      </rPr>
      <t>.</t>
    </r>
  </si>
  <si>
    <t>3. Find the city of meera.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</si>
</sst>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36BD-590F-4EA6-91A1-7850F402ED36}">
  <dimension ref="A1:N10"/>
  <sheetViews>
    <sheetView tabSelected="1" workbookViewId="0">
      <selection activeCell="N3" sqref="N3"/>
    </sheetView>
  </sheetViews>
  <sheetFormatPr defaultRowHeight="14.4" x14ac:dyDescent="0.3"/>
  <sheetData>
    <row r="1" spans="1:14" ht="23.4" x14ac:dyDescent="0.3">
      <c r="A1" s="1" t="s">
        <v>70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J1" s="3" t="s">
        <v>57</v>
      </c>
    </row>
    <row r="2" spans="1:14" x14ac:dyDescent="0.3">
      <c r="A2" s="2" t="s">
        <v>71</v>
      </c>
      <c r="B2" s="2">
        <v>15</v>
      </c>
      <c r="C2" s="2">
        <v>18</v>
      </c>
      <c r="D2" s="2">
        <v>20</v>
      </c>
      <c r="E2" s="2">
        <v>22</v>
      </c>
      <c r="F2" s="2">
        <v>25</v>
      </c>
      <c r="G2" s="2">
        <v>28</v>
      </c>
      <c r="J2" s="4"/>
    </row>
    <row r="3" spans="1:14" x14ac:dyDescent="0.3">
      <c r="A3" s="2" t="s">
        <v>80</v>
      </c>
      <c r="B3" s="2">
        <v>40</v>
      </c>
      <c r="C3" s="2">
        <v>45</v>
      </c>
      <c r="D3" s="2">
        <v>50</v>
      </c>
      <c r="E3" s="2">
        <v>48</v>
      </c>
      <c r="F3" s="2">
        <v>55</v>
      </c>
      <c r="G3" s="2">
        <v>60</v>
      </c>
      <c r="J3" s="4" t="s">
        <v>58</v>
      </c>
      <c r="N3">
        <f>HLOOKUP("Mar",A1:G5,3,FALSE)</f>
        <v>50</v>
      </c>
    </row>
    <row r="4" spans="1:14" x14ac:dyDescent="0.3">
      <c r="A4" s="2" t="s">
        <v>73</v>
      </c>
      <c r="B4" s="2">
        <v>10</v>
      </c>
      <c r="C4" s="2">
        <v>12</v>
      </c>
      <c r="D4" s="2">
        <v>15</v>
      </c>
      <c r="E4" s="2">
        <v>18</v>
      </c>
      <c r="F4" s="2">
        <v>17</v>
      </c>
      <c r="G4" s="2">
        <v>20</v>
      </c>
      <c r="J4" s="4" t="s">
        <v>59</v>
      </c>
    </row>
    <row r="5" spans="1:14" x14ac:dyDescent="0.3">
      <c r="A5" s="2" t="s">
        <v>72</v>
      </c>
      <c r="B5" s="2">
        <v>80</v>
      </c>
      <c r="C5" s="2">
        <v>85</v>
      </c>
      <c r="D5" s="2">
        <v>90</v>
      </c>
      <c r="E5" s="2">
        <v>95</v>
      </c>
      <c r="F5" s="2">
        <v>100</v>
      </c>
      <c r="G5" s="2">
        <v>110</v>
      </c>
      <c r="J5" s="4" t="s">
        <v>60</v>
      </c>
    </row>
    <row r="6" spans="1:14" x14ac:dyDescent="0.3">
      <c r="A6" s="2"/>
      <c r="B6" s="2"/>
      <c r="C6" s="2"/>
      <c r="D6" s="2"/>
      <c r="J6" s="4" t="s">
        <v>61</v>
      </c>
    </row>
    <row r="7" spans="1:14" x14ac:dyDescent="0.3">
      <c r="A7" s="2"/>
      <c r="B7" s="2"/>
      <c r="C7" s="2"/>
      <c r="D7" s="2"/>
      <c r="J7" s="4" t="s">
        <v>62</v>
      </c>
    </row>
    <row r="8" spans="1:14" x14ac:dyDescent="0.3">
      <c r="A8" s="2"/>
      <c r="B8" s="2"/>
      <c r="C8" s="2"/>
      <c r="D8" s="2"/>
      <c r="J8" s="4" t="s">
        <v>63</v>
      </c>
    </row>
    <row r="9" spans="1:14" x14ac:dyDescent="0.3">
      <c r="A9" s="2"/>
      <c r="B9" s="2"/>
      <c r="C9" s="2"/>
      <c r="D9" s="2"/>
      <c r="J9" s="4" t="s">
        <v>64</v>
      </c>
    </row>
    <row r="10" spans="1:14" x14ac:dyDescent="0.3">
      <c r="J10" s="4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7DEE-6E59-4E4C-87D5-A39996642B85}">
  <dimension ref="A1:U40"/>
  <sheetViews>
    <sheetView workbookViewId="0">
      <selection activeCell="M5" sqref="M5"/>
    </sheetView>
  </sheetViews>
  <sheetFormatPr defaultRowHeight="14.4" x14ac:dyDescent="0.3"/>
  <sheetData>
    <row r="1" spans="1:2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3" t="s">
        <v>52</v>
      </c>
      <c r="P1" s="3" t="s">
        <v>66</v>
      </c>
    </row>
    <row r="2" spans="1:21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35000</v>
      </c>
      <c r="F2" s="2">
        <v>2</v>
      </c>
      <c r="G2" s="2" t="s">
        <v>11</v>
      </c>
      <c r="I2" s="4"/>
      <c r="P2" s="4"/>
    </row>
    <row r="3" spans="1:21" x14ac:dyDescent="0.3">
      <c r="A3" s="2" t="s">
        <v>12</v>
      </c>
      <c r="B3" s="2" t="s">
        <v>13</v>
      </c>
      <c r="C3" s="2" t="s">
        <v>14</v>
      </c>
      <c r="D3" s="2" t="s">
        <v>15</v>
      </c>
      <c r="E3" s="2">
        <v>60000</v>
      </c>
      <c r="F3" s="2">
        <v>5</v>
      </c>
      <c r="G3" s="2" t="s">
        <v>16</v>
      </c>
      <c r="I3" s="4" t="s">
        <v>53</v>
      </c>
      <c r="M3">
        <f>VLOOKUP("priya",B2:G16,4,FALSE)</f>
        <v>60000</v>
      </c>
      <c r="P3" s="4" t="s">
        <v>67</v>
      </c>
      <c r="U3">
        <f>_xlfn.XLOOKUP("Priya",B2:B16,E2:E16)</f>
        <v>60000</v>
      </c>
    </row>
    <row r="4" spans="1:21" x14ac:dyDescent="0.3">
      <c r="A4" s="2" t="s">
        <v>17</v>
      </c>
      <c r="B4" s="2" t="s">
        <v>18</v>
      </c>
      <c r="C4" s="2" t="s">
        <v>19</v>
      </c>
      <c r="D4" s="2" t="s">
        <v>20</v>
      </c>
      <c r="E4" s="2">
        <v>55000</v>
      </c>
      <c r="F4" s="2">
        <v>4</v>
      </c>
      <c r="G4" s="2" t="s">
        <v>11</v>
      </c>
      <c r="I4" s="4" t="s">
        <v>54</v>
      </c>
      <c r="P4" s="4" t="s">
        <v>68</v>
      </c>
    </row>
    <row r="5" spans="1:21" ht="28.8" x14ac:dyDescent="0.3">
      <c r="A5" s="2" t="s">
        <v>21</v>
      </c>
      <c r="B5" s="2" t="s">
        <v>22</v>
      </c>
      <c r="C5" s="2" t="s">
        <v>23</v>
      </c>
      <c r="D5" s="2" t="s">
        <v>24</v>
      </c>
      <c r="E5" s="2">
        <v>45000</v>
      </c>
      <c r="F5" s="2">
        <v>3</v>
      </c>
      <c r="G5" s="2" t="s">
        <v>25</v>
      </c>
      <c r="I5" s="4" t="s">
        <v>89</v>
      </c>
      <c r="M5" t="str">
        <f>VLOOKUP("meera",B2:G16,3,FALSE)</f>
        <v>Kochi</v>
      </c>
      <c r="P5" s="4" t="s">
        <v>69</v>
      </c>
    </row>
    <row r="6" spans="1:21" x14ac:dyDescent="0.3">
      <c r="A6" s="2" t="s">
        <v>26</v>
      </c>
      <c r="B6" s="2" t="s">
        <v>27</v>
      </c>
      <c r="C6" s="2" t="s">
        <v>14</v>
      </c>
      <c r="D6" s="2" t="s">
        <v>28</v>
      </c>
      <c r="E6" s="2">
        <v>70000</v>
      </c>
      <c r="F6" s="2">
        <v>6</v>
      </c>
      <c r="G6" s="2" t="s">
        <v>11</v>
      </c>
      <c r="I6" s="4" t="s">
        <v>55</v>
      </c>
      <c r="P6" s="4" t="s">
        <v>84</v>
      </c>
    </row>
    <row r="7" spans="1:21" x14ac:dyDescent="0.3">
      <c r="A7" s="2" t="s">
        <v>29</v>
      </c>
      <c r="B7" s="2" t="s">
        <v>30</v>
      </c>
      <c r="C7" s="2" t="s">
        <v>9</v>
      </c>
      <c r="D7" s="2" t="s">
        <v>31</v>
      </c>
      <c r="E7" s="2">
        <v>40000</v>
      </c>
      <c r="F7" s="2">
        <v>2</v>
      </c>
      <c r="G7" s="2" t="s">
        <v>16</v>
      </c>
      <c r="I7" s="4" t="s">
        <v>56</v>
      </c>
      <c r="P7" s="4" t="s">
        <v>85</v>
      </c>
    </row>
    <row r="8" spans="1:21" x14ac:dyDescent="0.3">
      <c r="A8" s="2" t="s">
        <v>32</v>
      </c>
      <c r="B8" s="2" t="s">
        <v>33</v>
      </c>
      <c r="C8" s="2" t="s">
        <v>23</v>
      </c>
      <c r="D8" s="2" t="s">
        <v>10</v>
      </c>
      <c r="E8" s="2">
        <v>48000</v>
      </c>
      <c r="F8" s="2">
        <v>4</v>
      </c>
      <c r="G8" s="2" t="s">
        <v>16</v>
      </c>
      <c r="I8" s="4" t="s">
        <v>81</v>
      </c>
      <c r="P8" s="4" t="s">
        <v>86</v>
      </c>
    </row>
    <row r="9" spans="1:21" x14ac:dyDescent="0.3">
      <c r="A9" s="2" t="s">
        <v>34</v>
      </c>
      <c r="B9" s="2" t="s">
        <v>35</v>
      </c>
      <c r="C9" s="2" t="s">
        <v>19</v>
      </c>
      <c r="D9" s="2" t="s">
        <v>15</v>
      </c>
      <c r="E9" s="2">
        <v>62000</v>
      </c>
      <c r="F9" s="2">
        <v>7</v>
      </c>
      <c r="G9" s="2" t="s">
        <v>11</v>
      </c>
      <c r="I9" s="4" t="s">
        <v>82</v>
      </c>
      <c r="P9" s="4" t="s">
        <v>87</v>
      </c>
    </row>
    <row r="10" spans="1:21" ht="28.8" x14ac:dyDescent="0.3">
      <c r="A10" s="2" t="s">
        <v>36</v>
      </c>
      <c r="B10" s="2" t="s">
        <v>37</v>
      </c>
      <c r="C10" s="2" t="s">
        <v>14</v>
      </c>
      <c r="D10" s="2" t="s">
        <v>38</v>
      </c>
      <c r="E10" s="2">
        <v>75000</v>
      </c>
      <c r="F10" s="2">
        <v>8</v>
      </c>
      <c r="G10" s="2" t="s">
        <v>11</v>
      </c>
      <c r="I10" s="4" t="s">
        <v>83</v>
      </c>
      <c r="M10" t="str">
        <f>VLOOKUP("e115",A2:G16,3,FALSE)</f>
        <v>Marketing</v>
      </c>
      <c r="P10" s="4" t="s">
        <v>88</v>
      </c>
    </row>
    <row r="11" spans="1:21" ht="28.8" x14ac:dyDescent="0.3">
      <c r="A11" s="2" t="s">
        <v>39</v>
      </c>
      <c r="B11" s="2" t="s">
        <v>40</v>
      </c>
      <c r="C11" s="2" t="s">
        <v>41</v>
      </c>
      <c r="D11" s="2" t="s">
        <v>20</v>
      </c>
      <c r="E11" s="2">
        <v>50000</v>
      </c>
      <c r="F11" s="2">
        <v>5</v>
      </c>
      <c r="G11" s="2" t="s">
        <v>16</v>
      </c>
    </row>
    <row r="12" spans="1:21" x14ac:dyDescent="0.3">
      <c r="A12" s="2" t="s">
        <v>42</v>
      </c>
      <c r="B12" s="2" t="s">
        <v>43</v>
      </c>
      <c r="C12" s="2" t="s">
        <v>9</v>
      </c>
      <c r="D12" s="2" t="s">
        <v>15</v>
      </c>
      <c r="E12" s="2">
        <v>37000</v>
      </c>
      <c r="F12" s="2">
        <v>1</v>
      </c>
      <c r="G12" s="2" t="s">
        <v>25</v>
      </c>
    </row>
    <row r="13" spans="1:21" x14ac:dyDescent="0.3">
      <c r="A13" s="2" t="s">
        <v>44</v>
      </c>
      <c r="B13" s="2" t="s">
        <v>45</v>
      </c>
      <c r="C13" s="2" t="s">
        <v>14</v>
      </c>
      <c r="D13" s="2" t="s">
        <v>31</v>
      </c>
      <c r="E13" s="2">
        <v>68000</v>
      </c>
      <c r="F13" s="2">
        <v>6</v>
      </c>
      <c r="G13" s="2" t="s">
        <v>11</v>
      </c>
    </row>
    <row r="14" spans="1:21" x14ac:dyDescent="0.3">
      <c r="A14" s="2" t="s">
        <v>46</v>
      </c>
      <c r="B14" s="2" t="s">
        <v>47</v>
      </c>
      <c r="C14" s="2" t="s">
        <v>23</v>
      </c>
      <c r="D14" s="2" t="s">
        <v>28</v>
      </c>
      <c r="E14" s="2">
        <v>52000</v>
      </c>
      <c r="F14" s="2">
        <v>4</v>
      </c>
      <c r="G14" s="2" t="s">
        <v>16</v>
      </c>
    </row>
    <row r="15" spans="1:21" ht="28.8" x14ac:dyDescent="0.3">
      <c r="A15" s="2" t="s">
        <v>48</v>
      </c>
      <c r="B15" s="2" t="s">
        <v>49</v>
      </c>
      <c r="C15" s="2" t="s">
        <v>19</v>
      </c>
      <c r="D15" s="2" t="s">
        <v>24</v>
      </c>
      <c r="E15" s="2">
        <v>59000</v>
      </c>
      <c r="F15" s="2">
        <v>5</v>
      </c>
      <c r="G15" s="2" t="s">
        <v>11</v>
      </c>
      <c r="I15" s="4"/>
    </row>
    <row r="16" spans="1:21" ht="28.8" x14ac:dyDescent="0.3">
      <c r="A16" s="2" t="s">
        <v>50</v>
      </c>
      <c r="B16" s="2" t="s">
        <v>51</v>
      </c>
      <c r="C16" s="2" t="s">
        <v>41</v>
      </c>
      <c r="D16" s="2" t="s">
        <v>10</v>
      </c>
      <c r="E16" s="2">
        <v>47000</v>
      </c>
      <c r="F16" s="2">
        <v>3</v>
      </c>
      <c r="G16" s="2" t="s">
        <v>16</v>
      </c>
      <c r="I16" s="4"/>
    </row>
    <row r="22" spans="9:9" ht="31.2" x14ac:dyDescent="0.3">
      <c r="I22" s="5"/>
    </row>
    <row r="23" spans="9:9" x14ac:dyDescent="0.3">
      <c r="I23" s="4"/>
    </row>
    <row r="24" spans="9:9" x14ac:dyDescent="0.3">
      <c r="I24" s="4"/>
    </row>
    <row r="25" spans="9:9" x14ac:dyDescent="0.3">
      <c r="I25" s="4"/>
    </row>
    <row r="26" spans="9:9" x14ac:dyDescent="0.3">
      <c r="I26" s="4"/>
    </row>
    <row r="27" spans="9:9" x14ac:dyDescent="0.3">
      <c r="I27" s="4"/>
    </row>
    <row r="28" spans="9:9" x14ac:dyDescent="0.3">
      <c r="I28" s="4"/>
    </row>
    <row r="29" spans="9:9" x14ac:dyDescent="0.3">
      <c r="I29" s="4"/>
    </row>
    <row r="30" spans="9:9" x14ac:dyDescent="0.3">
      <c r="I30" s="4"/>
    </row>
    <row r="31" spans="9:9" x14ac:dyDescent="0.3">
      <c r="I31" s="4"/>
    </row>
    <row r="32" spans="9:9" x14ac:dyDescent="0.3">
      <c r="I32" s="4"/>
    </row>
    <row r="33" spans="9:9" x14ac:dyDescent="0.3">
      <c r="I33" s="4"/>
    </row>
    <row r="34" spans="9:9" x14ac:dyDescent="0.3">
      <c r="I34" s="4"/>
    </row>
    <row r="35" spans="9:9" x14ac:dyDescent="0.3">
      <c r="I35" s="4"/>
    </row>
    <row r="36" spans="9:9" x14ac:dyDescent="0.3">
      <c r="I36" s="4"/>
    </row>
    <row r="37" spans="9:9" x14ac:dyDescent="0.3">
      <c r="I37" s="4"/>
    </row>
    <row r="38" spans="9:9" x14ac:dyDescent="0.3">
      <c r="I38" s="4"/>
    </row>
    <row r="39" spans="9:9" x14ac:dyDescent="0.3">
      <c r="I39" s="4"/>
    </row>
    <row r="40" spans="9:9" x14ac:dyDescent="0.3">
      <c r="I40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Sheet1!Criteria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 ss</dc:creator>
  <cp:lastModifiedBy>LIJO S CHACKO</cp:lastModifiedBy>
  <dcterms:created xsi:type="dcterms:W3CDTF">2026-07-15T13:26:18Z</dcterms:created>
  <dcterms:modified xsi:type="dcterms:W3CDTF">2026-09-28T19:21:57Z</dcterms:modified>
</cp:coreProperties>
</file>