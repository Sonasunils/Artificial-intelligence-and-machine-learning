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ov\Downloads\"/>
    </mc:Choice>
  </mc:AlternateContent>
  <xr:revisionPtr revIDLastSave="0" documentId="8_{C2C92033-A9BB-47F8-8D21-38F0D889FACE}" xr6:coauthVersionLast="47" xr6:coauthVersionMax="47" xr10:uidLastSave="{00000000-0000-0000-0000-000000000000}"/>
  <bookViews>
    <workbookView xWindow="-108" yWindow="-108" windowWidth="23256" windowHeight="12456" xr2:uid="{4DA4AE6B-839E-4FB5-8528-9BAB08972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H38" i="1"/>
  <c r="H33" i="1"/>
  <c r="H32" i="1"/>
  <c r="H29" i="1"/>
  <c r="H24" i="1"/>
  <c r="H20" i="1"/>
</calcChain>
</file>

<file path=xl/sharedStrings.xml><?xml version="1.0" encoding="utf-8"?>
<sst xmlns="http://schemas.openxmlformats.org/spreadsheetml/2006/main" count="155" uniqueCount="105">
  <si>
    <t>ID</t>
  </si>
  <si>
    <t>Employee</t>
  </si>
  <si>
    <t>Department</t>
  </si>
  <si>
    <t>Gender</t>
  </si>
  <si>
    <t>Age</t>
  </si>
  <si>
    <t>Salary</t>
  </si>
  <si>
    <t>Experience</t>
  </si>
  <si>
    <t>Performance</t>
  </si>
  <si>
    <t>Sales</t>
  </si>
  <si>
    <t>Leave Days</t>
  </si>
  <si>
    <t>Employment Type</t>
  </si>
  <si>
    <t>E001</t>
  </si>
  <si>
    <t>Anu</t>
  </si>
  <si>
    <t>IT</t>
  </si>
  <si>
    <t>Female</t>
  </si>
  <si>
    <t>Excellent</t>
  </si>
  <si>
    <t>Full Time</t>
  </si>
  <si>
    <t>E002</t>
  </si>
  <si>
    <t>Rahul</t>
  </si>
  <si>
    <t>Male</t>
  </si>
  <si>
    <t>Good</t>
  </si>
  <si>
    <t>E003</t>
  </si>
  <si>
    <t>Meera</t>
  </si>
  <si>
    <t>HR</t>
  </si>
  <si>
    <t>E004</t>
  </si>
  <si>
    <t>Arun</t>
  </si>
  <si>
    <t>Average</t>
  </si>
  <si>
    <t>E005</t>
  </si>
  <si>
    <t>Sneha</t>
  </si>
  <si>
    <t>E006</t>
  </si>
  <si>
    <t>Vishnu</t>
  </si>
  <si>
    <t>Finance</t>
  </si>
  <si>
    <t>E007</t>
  </si>
  <si>
    <t>Diya</t>
  </si>
  <si>
    <t>Part Time</t>
  </si>
  <si>
    <t>E008</t>
  </si>
  <si>
    <t>Nikhil</t>
  </si>
  <si>
    <t>E009</t>
  </si>
  <si>
    <t>Fathima</t>
  </si>
  <si>
    <t>E010</t>
  </si>
  <si>
    <t>Akhil</t>
  </si>
  <si>
    <t>E011</t>
  </si>
  <si>
    <t>Lakshmi</t>
  </si>
  <si>
    <t>E012</t>
  </si>
  <si>
    <t>Suresh</t>
  </si>
  <si>
    <t>E013</t>
  </si>
  <si>
    <t>Neha</t>
  </si>
  <si>
    <t>E014</t>
  </si>
  <si>
    <t>Manu</t>
  </si>
  <si>
    <t>E015</t>
  </si>
  <si>
    <t>Riya</t>
  </si>
  <si>
    <t>SUMIF / SUMIFS</t>
  </si>
  <si>
    <r>
      <t xml:space="preserve">1. Find the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of employees in the </t>
    </r>
    <r>
      <rPr>
        <b/>
        <sz val="11"/>
        <color theme="1"/>
        <rFont val="Calibri"/>
        <family val="2"/>
        <scheme val="minor"/>
      </rPr>
      <t>IT department</t>
    </r>
    <r>
      <rPr>
        <sz val="11"/>
        <color theme="1"/>
        <rFont val="Calibri"/>
        <family val="2"/>
        <scheme val="minor"/>
      </rPr>
      <t>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</si>
  <si>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generated by employees in the </t>
    </r>
    <r>
      <rPr>
        <b/>
        <sz val="11"/>
        <color theme="1"/>
        <rFont val="Calibri"/>
        <family val="2"/>
        <scheme val="minor"/>
      </rPr>
      <t>Sales department</t>
    </r>
    <r>
      <rPr>
        <sz val="11"/>
        <color theme="1"/>
        <rFont val="Calibri"/>
        <family val="2"/>
        <scheme val="minor"/>
      </rPr>
      <t>.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</si>
  <si>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Female employees</t>
    </r>
    <r>
      <rPr>
        <sz val="11"/>
        <color theme="1"/>
        <rFont val="Calibri"/>
        <family val="2"/>
        <scheme val="minor"/>
      </rPr>
      <t>.</t>
    </r>
  </si>
  <si>
    <r>
      <t xml:space="preserve">4. Find the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of employees whose Performance is </t>
    </r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>.</t>
    </r>
  </si>
  <si>
    <r>
      <t xml:space="preserve">5. Find the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Full Time employees in the IT department</t>
    </r>
    <r>
      <rPr>
        <sz val="11"/>
        <color theme="1"/>
        <rFont val="Calibri"/>
        <family val="2"/>
        <scheme val="minor"/>
      </rPr>
      <t>.</t>
    </r>
  </si>
  <si>
    <r>
      <t xml:space="preserve">6. Find the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Male employees in the Finance department</t>
    </r>
    <r>
      <rPr>
        <sz val="11"/>
        <color theme="1"/>
        <rFont val="Calibri"/>
        <family val="2"/>
        <scheme val="minor"/>
      </rPr>
      <t>.</t>
    </r>
  </si>
  <si>
    <t>COUNTIF / COUNTIFS</t>
  </si>
  <si>
    <r>
      <t xml:space="preserve">7. Count the number of employees in the </t>
    </r>
    <r>
      <rPr>
        <b/>
        <sz val="11"/>
        <color theme="1"/>
        <rFont val="Calibri"/>
        <family val="2"/>
        <scheme val="minor"/>
      </rPr>
      <t>IT department</t>
    </r>
    <r>
      <rPr>
        <sz val="11"/>
        <color theme="1"/>
        <rFont val="Calibri"/>
        <family val="2"/>
        <scheme val="minor"/>
      </rPr>
      <t>.</t>
    </r>
  </si>
  <si>
    <r>
      <t xml:space="preserve">8. Count the number of </t>
    </r>
    <r>
      <rPr>
        <b/>
        <sz val="11"/>
        <color theme="1"/>
        <rFont val="Calibri"/>
        <family val="2"/>
        <scheme val="minor"/>
      </rPr>
      <t>Female employees</t>
    </r>
    <r>
      <rPr>
        <sz val="11"/>
        <color theme="1"/>
        <rFont val="Calibri"/>
        <family val="2"/>
        <scheme val="minor"/>
      </rPr>
      <t>.</t>
    </r>
  </si>
  <si>
    <r>
      <t xml:space="preserve">9. Count employees whose Performance is </t>
    </r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>.</t>
    </r>
  </si>
  <si>
    <r>
      <t xml:space="preserve">10. Count employees with </t>
    </r>
    <r>
      <rPr>
        <b/>
        <sz val="11"/>
        <color theme="1"/>
        <rFont val="Calibri"/>
        <family val="2"/>
        <scheme val="minor"/>
      </rPr>
      <t>more than 5 Leave Days</t>
    </r>
    <r>
      <rPr>
        <sz val="11"/>
        <color theme="1"/>
        <rFont val="Calibri"/>
        <family val="2"/>
        <scheme val="minor"/>
      </rPr>
      <t>.</t>
    </r>
  </si>
  <si>
    <r>
      <t xml:space="preserve">11. Count </t>
    </r>
    <r>
      <rPr>
        <b/>
        <sz val="11"/>
        <color theme="1"/>
        <rFont val="Calibri"/>
        <family val="2"/>
        <scheme val="minor"/>
      </rPr>
      <t>Full Time employees with Good performance</t>
    </r>
    <r>
      <rPr>
        <sz val="11"/>
        <color theme="1"/>
        <rFont val="Calibri"/>
        <family val="2"/>
        <scheme val="minor"/>
      </rPr>
      <t>.</t>
    </r>
  </si>
  <si>
    <r>
      <t xml:space="preserve">12. Count </t>
    </r>
    <r>
      <rPr>
        <b/>
        <sz val="11"/>
        <color theme="1"/>
        <rFont val="Calibri"/>
        <family val="2"/>
        <scheme val="minor"/>
      </rPr>
      <t>Female employees in the IT department</t>
    </r>
    <r>
      <rPr>
        <sz val="11"/>
        <color theme="1"/>
        <rFont val="Calibri"/>
        <family val="2"/>
        <scheme val="minor"/>
      </rPr>
      <t>.</t>
    </r>
  </si>
  <si>
    <t>AVERAGEIF / AVERAGEIFS</t>
  </si>
  <si>
    <r>
      <t xml:space="preserve">13. Find the </t>
    </r>
    <r>
      <rPr>
        <b/>
        <sz val="11"/>
        <color theme="1"/>
        <rFont val="Calibri"/>
        <family val="2"/>
        <scheme val="minor"/>
      </rPr>
      <t>average Salary</t>
    </r>
    <r>
      <rPr>
        <sz val="11"/>
        <color theme="1"/>
        <rFont val="Calibri"/>
        <family val="2"/>
        <scheme val="minor"/>
      </rPr>
      <t xml:space="preserve"> of IT employees.</t>
    </r>
  </si>
  <si>
    <r>
      <t xml:space="preserve">14. Find the </t>
    </r>
    <r>
      <rPr>
        <b/>
        <sz val="11"/>
        <color theme="1"/>
        <rFont val="Calibri"/>
        <family val="2"/>
        <scheme val="minor"/>
      </rPr>
      <t>average Sales</t>
    </r>
    <r>
      <rPr>
        <sz val="11"/>
        <color theme="1"/>
        <rFont val="Calibri"/>
        <family val="2"/>
        <scheme val="minor"/>
      </rPr>
      <t xml:space="preserve"> of Sales department employees.</t>
    </r>
  </si>
  <si>
    <r>
      <t xml:space="preserve">15. Find the </t>
    </r>
    <r>
      <rPr>
        <b/>
        <sz val="11"/>
        <color theme="1"/>
        <rFont val="Calibri"/>
        <family val="2"/>
        <scheme val="minor"/>
      </rPr>
      <t>average Experience</t>
    </r>
    <r>
      <rPr>
        <sz val="11"/>
        <color theme="1"/>
        <rFont val="Calibri"/>
        <family val="2"/>
        <scheme val="minor"/>
      </rPr>
      <t xml:space="preserve"> of Finance employees.</t>
    </r>
  </si>
  <si>
    <r>
      <t xml:space="preserve">16. Find the </t>
    </r>
    <r>
      <rPr>
        <b/>
        <sz val="11"/>
        <color theme="1"/>
        <rFont val="Calibri"/>
        <family val="2"/>
        <scheme val="minor"/>
      </rPr>
      <t>average Salary</t>
    </r>
    <r>
      <rPr>
        <sz val="11"/>
        <color theme="1"/>
        <rFont val="Calibri"/>
        <family val="2"/>
        <scheme val="minor"/>
      </rPr>
      <t xml:space="preserve"> of Female employees.</t>
    </r>
  </si>
  <si>
    <r>
      <t xml:space="preserve">17. Find the </t>
    </r>
    <r>
      <rPr>
        <b/>
        <sz val="11"/>
        <color theme="1"/>
        <rFont val="Calibri"/>
        <family val="2"/>
        <scheme val="minor"/>
      </rPr>
      <t>average Salary</t>
    </r>
    <r>
      <rPr>
        <sz val="11"/>
        <color theme="1"/>
        <rFont val="Calibri"/>
        <family val="2"/>
        <scheme val="minor"/>
      </rPr>
      <t xml:space="preserve"> of Full Time employees in the Sales department.</t>
    </r>
  </si>
  <si>
    <r>
      <t xml:space="preserve">18. Find the </t>
    </r>
    <r>
      <rPr>
        <b/>
        <sz val="11"/>
        <color theme="1"/>
        <rFont val="Calibri"/>
        <family val="2"/>
        <scheme val="minor"/>
      </rPr>
      <t>average Sales</t>
    </r>
    <r>
      <rPr>
        <sz val="11"/>
        <color theme="1"/>
        <rFont val="Calibri"/>
        <family val="2"/>
        <scheme val="minor"/>
      </rPr>
      <t xml:space="preserve"> of employees with Excellent performance and more than </t>
    </r>
    <r>
      <rPr>
        <b/>
        <sz val="11"/>
        <color theme="1"/>
        <rFont val="Calibri"/>
        <family val="2"/>
        <scheme val="minor"/>
      </rPr>
      <t>5 years Experience</t>
    </r>
    <r>
      <rPr>
        <sz val="11"/>
        <color theme="1"/>
        <rFont val="Calibri"/>
        <family val="2"/>
        <scheme val="minor"/>
      </rPr>
      <t>.</t>
    </r>
  </si>
  <si>
    <t>Nested IF</t>
  </si>
  <si>
    <r>
      <t xml:space="preserve">19. Create a </t>
    </r>
    <r>
      <rPr>
        <b/>
        <sz val="11"/>
        <color theme="1"/>
        <rFont val="Calibri"/>
        <family val="2"/>
        <scheme val="minor"/>
      </rPr>
      <t>Salary Level</t>
    </r>
    <r>
      <rPr>
        <sz val="11"/>
        <color theme="1"/>
        <rFont val="Calibri"/>
        <family val="2"/>
        <scheme val="minor"/>
      </rPr>
      <t xml:space="preserve"> column:</t>
    </r>
  </si>
  <si>
    <t>Salary ≥ ₹45,000 → High</t>
  </si>
  <si>
    <t>Salary ≥ ₹35,000 → Medium</t>
  </si>
  <si>
    <t>Otherwise → Low</t>
  </si>
  <si>
    <r>
      <t xml:space="preserve">20. Create an </t>
    </r>
    <r>
      <rPr>
        <b/>
        <sz val="11"/>
        <color theme="1"/>
        <rFont val="Calibri"/>
        <family val="2"/>
        <scheme val="minor"/>
      </rPr>
      <t>Experience Level</t>
    </r>
    <r>
      <rPr>
        <sz val="11"/>
        <color theme="1"/>
        <rFont val="Calibri"/>
        <family val="2"/>
        <scheme val="minor"/>
      </rPr>
      <t xml:space="preserve"> column:</t>
    </r>
  </si>
  <si>
    <t>Experience ≥ 8 → Senior</t>
  </si>
  <si>
    <t>Experience ≥ 4 → Mid-Level</t>
  </si>
  <si>
    <t>Otherwise → Junior</t>
  </si>
  <si>
    <r>
      <t xml:space="preserve">21. Create a </t>
    </r>
    <r>
      <rPr>
        <b/>
        <sz val="11"/>
        <color theme="1"/>
        <rFont val="Calibri"/>
        <family val="2"/>
        <scheme val="minor"/>
      </rPr>
      <t>Performance Grade</t>
    </r>
    <r>
      <rPr>
        <sz val="11"/>
        <color theme="1"/>
        <rFont val="Calibri"/>
        <family val="2"/>
        <scheme val="minor"/>
      </rPr>
      <t xml:space="preserve"> column:</t>
    </r>
  </si>
  <si>
    <t>Excellent → A</t>
  </si>
  <si>
    <t>Good → B</t>
  </si>
  <si>
    <t>Average → C</t>
  </si>
  <si>
    <t>IFERROR</t>
  </si>
  <si>
    <r>
      <t xml:space="preserve">22. Calculate </t>
    </r>
    <r>
      <rPr>
        <b/>
        <sz val="11"/>
        <color theme="1"/>
        <rFont val="Calibri"/>
        <family val="2"/>
        <scheme val="minor"/>
      </rPr>
      <t>Sales ÷ Experience</t>
    </r>
    <r>
      <rPr>
        <sz val="11"/>
        <color theme="1"/>
        <rFont val="Calibri"/>
        <family val="2"/>
        <scheme val="minor"/>
      </rPr>
      <t xml:space="preserve"> and use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 xml:space="preserve"> to display </t>
    </r>
    <r>
      <rPr>
        <sz val="10"/>
        <color theme="1"/>
        <rFont val="Arial Unicode MS"/>
      </rPr>
      <t>"Not Available"</t>
    </r>
    <r>
      <rPr>
        <sz val="11"/>
        <color theme="1"/>
        <rFont val="Calibri"/>
        <family val="2"/>
        <scheme val="minor"/>
      </rPr>
      <t xml:space="preserve"> if an error occurs.</t>
    </r>
  </si>
  <si>
    <r>
      <t xml:space="preserve">23. Calculate </t>
    </r>
    <r>
      <rPr>
        <b/>
        <sz val="11"/>
        <color theme="1"/>
        <rFont val="Calibri"/>
        <family val="2"/>
        <scheme val="minor"/>
      </rPr>
      <t>Sales ÷ Leave Days</t>
    </r>
    <r>
      <rPr>
        <sz val="11"/>
        <color theme="1"/>
        <rFont val="Calibri"/>
        <family val="2"/>
        <scheme val="minor"/>
      </rPr>
      <t xml:space="preserve"> and use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 xml:space="preserve"> to display </t>
    </r>
    <r>
      <rPr>
        <sz val="10"/>
        <color theme="1"/>
        <rFont val="Arial Unicode MS"/>
      </rPr>
      <t>"No Data"</t>
    </r>
    <r>
      <rPr>
        <sz val="11"/>
        <color theme="1"/>
        <rFont val="Calibri"/>
        <family val="2"/>
        <scheme val="minor"/>
      </rPr>
      <t xml:space="preserve"> if an error occurs.</t>
    </r>
  </si>
  <si>
    <t>AND / OR / NOT</t>
  </si>
  <si>
    <r>
      <t xml:space="preserve">24. Using </t>
    </r>
    <r>
      <rPr>
        <sz val="10"/>
        <color theme="1"/>
        <rFont val="Arial Unicode MS"/>
      </rPr>
      <t>AND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"Eligible"</t>
    </r>
    <r>
      <rPr>
        <sz val="11"/>
        <color theme="1"/>
        <rFont val="Calibri"/>
        <family val="2"/>
        <scheme val="minor"/>
      </rPr>
      <t xml:space="preserve"> if Salary is at least ₹35,000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Performance is Excellent; otherwise display </t>
    </r>
    <r>
      <rPr>
        <sz val="10"/>
        <color theme="1"/>
        <rFont val="Arial Unicode MS"/>
      </rPr>
      <t>"Not Eligible"</t>
    </r>
    <r>
      <rPr>
        <sz val="11"/>
        <color theme="1"/>
        <rFont val="Calibri"/>
        <family val="2"/>
        <scheme val="minor"/>
      </rPr>
      <t>.</t>
    </r>
  </si>
  <si>
    <r>
      <t xml:space="preserve">25. Using </t>
    </r>
    <r>
      <rPr>
        <sz val="10"/>
        <color theme="1"/>
        <rFont val="Arial Unicode MS"/>
      </rPr>
      <t>AND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"Senior"</t>
    </r>
    <r>
      <rPr>
        <sz val="11"/>
        <color theme="1"/>
        <rFont val="Calibri"/>
        <family val="2"/>
        <scheme val="minor"/>
      </rPr>
      <t xml:space="preserve"> if Experience is at least 5 years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Age is at least 30; otherwise display </t>
    </r>
    <r>
      <rPr>
        <sz val="10"/>
        <color theme="1"/>
        <rFont val="Arial Unicode MS"/>
      </rPr>
      <t>"Junior"</t>
    </r>
    <r>
      <rPr>
        <sz val="11"/>
        <color theme="1"/>
        <rFont val="Calibri"/>
        <family val="2"/>
        <scheme val="minor"/>
      </rPr>
      <t>.</t>
    </r>
  </si>
  <si>
    <r>
      <t xml:space="preserve">26. Using </t>
    </r>
    <r>
      <rPr>
        <sz val="10"/>
        <color theme="1"/>
        <rFont val="Arial Unicode MS"/>
      </rPr>
      <t>OR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"Attention Required"</t>
    </r>
    <r>
      <rPr>
        <sz val="11"/>
        <color theme="1"/>
        <rFont val="Calibri"/>
        <family val="2"/>
        <scheme val="minor"/>
      </rPr>
      <t xml:space="preserve"> if Leave Days are greater than 7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Performance is Average.</t>
    </r>
  </si>
  <si>
    <r>
      <t xml:space="preserve">27. Using </t>
    </r>
    <r>
      <rPr>
        <sz val="10"/>
        <color theme="1"/>
        <rFont val="Arial Unicode MS"/>
      </rPr>
      <t>OR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"IT/Finance"</t>
    </r>
    <r>
      <rPr>
        <sz val="11"/>
        <color theme="1"/>
        <rFont val="Calibri"/>
        <family val="2"/>
        <scheme val="minor"/>
      </rPr>
      <t xml:space="preserve"> if the Department is IT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Finance; otherwise display </t>
    </r>
    <r>
      <rPr>
        <sz val="10"/>
        <color theme="1"/>
        <rFont val="Arial Unicode MS"/>
      </rPr>
      <t>"Other"</t>
    </r>
    <r>
      <rPr>
        <sz val="11"/>
        <color theme="1"/>
        <rFont val="Calibri"/>
        <family val="2"/>
        <scheme val="minor"/>
      </rPr>
      <t>.</t>
    </r>
  </si>
  <si>
    <r>
      <t xml:space="preserve">28. Using </t>
    </r>
    <r>
      <rPr>
        <sz val="10"/>
        <color theme="1"/>
        <rFont val="Arial Unicode MS"/>
      </rPr>
      <t>NOT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"Part Time"</t>
    </r>
    <r>
      <rPr>
        <sz val="11"/>
        <color theme="1"/>
        <rFont val="Calibri"/>
        <family val="2"/>
        <scheme val="minor"/>
      </rPr>
      <t xml:space="preserve"> if the employee is </t>
    </r>
    <r>
      <rPr>
        <b/>
        <sz val="11"/>
        <color theme="1"/>
        <rFont val="Calibri"/>
        <family val="2"/>
        <scheme val="minor"/>
      </rPr>
      <t>NOT Full Time</t>
    </r>
    <r>
      <rPr>
        <sz val="11"/>
        <color theme="1"/>
        <rFont val="Calibri"/>
        <family val="2"/>
        <scheme val="minor"/>
      </rPr>
      <t xml:space="preserve">; otherwise display </t>
    </r>
    <r>
      <rPr>
        <sz val="10"/>
        <color theme="1"/>
        <rFont val="Arial Unicode MS"/>
      </rPr>
      <t>"Full Time"</t>
    </r>
    <r>
      <rPr>
        <sz val="11"/>
        <color theme="1"/>
        <rFont val="Calibri"/>
        <family val="2"/>
        <scheme val="minor"/>
      </rPr>
      <t>.</t>
    </r>
  </si>
  <si>
    <r>
      <t xml:space="preserve">29. Using </t>
    </r>
    <r>
      <rPr>
        <sz val="10"/>
        <color theme="1"/>
        <rFont val="Arial Unicode MS"/>
      </rPr>
      <t>NOT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"Needs Improvement"</t>
    </r>
    <r>
      <rPr>
        <sz val="11"/>
        <color theme="1"/>
        <rFont val="Calibri"/>
        <family val="2"/>
        <scheme val="minor"/>
      </rPr>
      <t xml:space="preserve"> if Performance is </t>
    </r>
    <r>
      <rPr>
        <b/>
        <sz val="11"/>
        <color theme="1"/>
        <rFont val="Calibri"/>
        <family val="2"/>
        <scheme val="minor"/>
      </rPr>
      <t>NOT Excellent</t>
    </r>
    <r>
      <rPr>
        <sz val="11"/>
        <color theme="1"/>
        <rFont val="Calibri"/>
        <family val="2"/>
        <scheme val="minor"/>
      </rPr>
      <t xml:space="preserve">; otherwise display </t>
    </r>
    <r>
      <rPr>
        <sz val="10"/>
        <color theme="1"/>
        <rFont val="Arial Unicode MS"/>
      </rPr>
      <t>"Excellent"</t>
    </r>
    <r>
      <rPr>
        <sz val="11"/>
        <color theme="1"/>
        <rFont val="Calibri"/>
        <family val="2"/>
        <scheme val="minor"/>
      </rPr>
      <t>.</t>
    </r>
  </si>
  <si>
    <t>Combined Formula</t>
  </si>
  <si>
    <r>
      <t xml:space="preserve">30. Create a </t>
    </r>
    <r>
      <rPr>
        <b/>
        <sz val="11"/>
        <color theme="1"/>
        <rFont val="Calibri"/>
        <family val="2"/>
        <scheme val="minor"/>
      </rPr>
      <t>Final Status</t>
    </r>
    <r>
      <rPr>
        <sz val="11"/>
        <color theme="1"/>
        <rFont val="Calibri"/>
        <family val="2"/>
        <scheme val="minor"/>
      </rPr>
      <t xml:space="preserve"> column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AND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OR</t>
    </r>
    <r>
      <rPr>
        <sz val="11"/>
        <color theme="1"/>
        <rFont val="Calibri"/>
        <family val="2"/>
        <scheme val="minor"/>
      </rPr>
      <t>:</t>
    </r>
  </si>
  <si>
    <r>
      <t xml:space="preserve">Performance = Excellent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Sales ≥ ₹120,000 → </t>
    </r>
    <r>
      <rPr>
        <b/>
        <sz val="11"/>
        <color theme="1"/>
        <rFont val="Calibri"/>
        <family val="2"/>
        <scheme val="minor"/>
      </rPr>
      <t>Top Performer</t>
    </r>
  </si>
  <si>
    <r>
      <t xml:space="preserve">Performance = Good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Sales ≥ ₹100,000 → </t>
    </r>
    <r>
      <rPr>
        <b/>
        <sz val="11"/>
        <color theme="1"/>
        <rFont val="Calibri"/>
        <family val="2"/>
        <scheme val="minor"/>
      </rPr>
      <t>Good Performer</t>
    </r>
  </si>
  <si>
    <r>
      <t xml:space="preserve">Leave Days &gt; 7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Performance = Average → </t>
    </r>
    <r>
      <rPr>
        <b/>
        <sz val="11"/>
        <color theme="1"/>
        <rFont val="Calibri"/>
        <family val="2"/>
        <scheme val="minor"/>
      </rPr>
      <t>Needs Attention</t>
    </r>
  </si>
  <si>
    <r>
      <t xml:space="preserve">Otherwise → </t>
    </r>
    <r>
      <rPr>
        <b/>
        <sz val="11"/>
        <color theme="1"/>
        <rFont val="Calibri"/>
        <family val="2"/>
        <scheme val="minor"/>
      </rPr>
      <t>Normal</t>
    </r>
  </si>
  <si>
    <t>Salary level</t>
  </si>
  <si>
    <t>salary  level</t>
  </si>
  <si>
    <t>if error</t>
  </si>
  <si>
    <t>final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</si>
</sst>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1198-0BD2-46A9-95CC-4C8D5C80C6DD}">
  <dimension ref="A1:Q86"/>
  <sheetViews>
    <sheetView tabSelected="1" topLeftCell="A15" workbookViewId="0">
      <selection activeCell="Q2" sqref="Q2"/>
    </sheetView>
  </sheetViews>
  <sheetFormatPr defaultRowHeight="14.4"/>
  <sheetData>
    <row r="1" spans="1:17" ht="43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3" t="s">
        <v>101</v>
      </c>
      <c r="M1" s="3" t="s">
        <v>102</v>
      </c>
      <c r="N1" s="3" t="s">
        <v>103</v>
      </c>
      <c r="Q1" s="3" t="s">
        <v>104</v>
      </c>
    </row>
    <row r="2" spans="1:17">
      <c r="A2" s="4" t="s">
        <v>11</v>
      </c>
      <c r="B2" s="4" t="s">
        <v>12</v>
      </c>
      <c r="C2" s="4" t="s">
        <v>13</v>
      </c>
      <c r="D2" s="4" t="s">
        <v>14</v>
      </c>
      <c r="E2" s="2">
        <v>24</v>
      </c>
      <c r="F2" s="2">
        <v>28000</v>
      </c>
      <c r="G2" s="2">
        <v>1</v>
      </c>
      <c r="H2" s="4" t="s">
        <v>15</v>
      </c>
      <c r="I2" s="2">
        <v>85000</v>
      </c>
      <c r="J2" s="2">
        <v>3</v>
      </c>
      <c r="K2" s="4" t="s">
        <v>16</v>
      </c>
      <c r="L2" t="str">
        <f>IF(F2&gt;=45000,"high","low")</f>
        <v>low</v>
      </c>
      <c r="M2" t="str">
        <f>IF(F2&gt;=45000,"High",IF(F2&gt;=35000,"medium","Low"))</f>
        <v>Low</v>
      </c>
      <c r="N2">
        <f>I2/G2</f>
        <v>85000</v>
      </c>
      <c r="O2">
        <f>IFERROR(I2/G2,"0 division error")</f>
        <v>85000</v>
      </c>
      <c r="P2" t="str">
        <f>IF(AND(F2&gt;=35000,H2="Excellent"),"eligible","not eligible")</f>
        <v>not eligible</v>
      </c>
      <c r="Q2" t="str">
        <f>IF(AND(H2="excellent",F2&gt;=120000),"Top performer",IF(AND(H2="Good",I2=100000),"good performer","normal"))</f>
        <v>normal</v>
      </c>
    </row>
    <row r="3" spans="1:17">
      <c r="A3" s="4" t="s">
        <v>17</v>
      </c>
      <c r="B3" s="4" t="s">
        <v>18</v>
      </c>
      <c r="C3" s="4" t="s">
        <v>8</v>
      </c>
      <c r="D3" s="4" t="s">
        <v>19</v>
      </c>
      <c r="E3" s="2">
        <v>29</v>
      </c>
      <c r="F3" s="2">
        <v>35000</v>
      </c>
      <c r="G3" s="2">
        <v>4</v>
      </c>
      <c r="H3" s="4" t="s">
        <v>20</v>
      </c>
      <c r="I3" s="2">
        <v>120000</v>
      </c>
      <c r="J3" s="2">
        <v>5</v>
      </c>
      <c r="K3" s="4" t="s">
        <v>16</v>
      </c>
      <c r="L3" t="str">
        <f t="shared" ref="L3:L16" si="0">IF(F3&gt;=45000,"high","low")</f>
        <v>low</v>
      </c>
      <c r="M3" t="str">
        <f t="shared" ref="M3:M16" si="1">IF(F3&gt;=45000,"High",IF(F3&gt;=35000,"medium","Low"))</f>
        <v>medium</v>
      </c>
      <c r="N3">
        <f t="shared" ref="N3:N16" si="2">I3/G3</f>
        <v>30000</v>
      </c>
      <c r="O3">
        <f t="shared" ref="O3:O16" si="3">IFERROR(I3/G3,"0 division error")</f>
        <v>30000</v>
      </c>
      <c r="P3" t="str">
        <f t="shared" ref="P3:P16" si="4">IF(AND(F3&gt;=35000,H3="Excellent"),"eligible","not eligible")</f>
        <v>not eligible</v>
      </c>
      <c r="Q3" t="str">
        <f t="shared" ref="Q3:Q16" si="5">IF(AND(H3="excellent",F3&gt;=120000),"Top performer",IF(AND(H3="Good",I3=100000),"good performer","normal"))</f>
        <v>normal</v>
      </c>
    </row>
    <row r="4" spans="1:17">
      <c r="A4" s="4" t="s">
        <v>21</v>
      </c>
      <c r="B4" s="4" t="s">
        <v>22</v>
      </c>
      <c r="C4" s="4" t="s">
        <v>23</v>
      </c>
      <c r="D4" s="4" t="s">
        <v>14</v>
      </c>
      <c r="E4" s="2">
        <v>31</v>
      </c>
      <c r="F4" s="2">
        <v>42000</v>
      </c>
      <c r="G4" s="2">
        <v>6</v>
      </c>
      <c r="H4" s="4" t="s">
        <v>15</v>
      </c>
      <c r="I4" s="2">
        <v>95000</v>
      </c>
      <c r="J4" s="2">
        <v>2</v>
      </c>
      <c r="K4" s="4" t="s">
        <v>16</v>
      </c>
      <c r="L4" t="str">
        <f t="shared" si="0"/>
        <v>low</v>
      </c>
      <c r="M4" t="str">
        <f t="shared" si="1"/>
        <v>medium</v>
      </c>
      <c r="N4">
        <f t="shared" si="2"/>
        <v>15833.333333333334</v>
      </c>
      <c r="O4">
        <f t="shared" si="3"/>
        <v>15833.333333333334</v>
      </c>
      <c r="P4" t="str">
        <f t="shared" si="4"/>
        <v>eligible</v>
      </c>
      <c r="Q4" t="str">
        <f t="shared" si="5"/>
        <v>normal</v>
      </c>
    </row>
    <row r="5" spans="1:17">
      <c r="A5" s="4" t="s">
        <v>24</v>
      </c>
      <c r="B5" s="4" t="s">
        <v>25</v>
      </c>
      <c r="C5" s="4" t="s">
        <v>13</v>
      </c>
      <c r="D5" s="4" t="s">
        <v>19</v>
      </c>
      <c r="E5" s="2">
        <v>26</v>
      </c>
      <c r="F5" s="2">
        <v>32000</v>
      </c>
      <c r="G5" s="2">
        <v>3</v>
      </c>
      <c r="H5" s="4" t="s">
        <v>26</v>
      </c>
      <c r="I5" s="2">
        <v>70000</v>
      </c>
      <c r="J5" s="2">
        <v>8</v>
      </c>
      <c r="K5" s="4" t="s">
        <v>16</v>
      </c>
      <c r="L5" t="str">
        <f t="shared" si="0"/>
        <v>low</v>
      </c>
      <c r="M5" t="str">
        <f t="shared" si="1"/>
        <v>Low</v>
      </c>
      <c r="N5">
        <f t="shared" si="2"/>
        <v>23333.333333333332</v>
      </c>
      <c r="O5">
        <f t="shared" si="3"/>
        <v>23333.333333333332</v>
      </c>
      <c r="P5" t="str">
        <f t="shared" si="4"/>
        <v>not eligible</v>
      </c>
      <c r="Q5" t="str">
        <f t="shared" si="5"/>
        <v>normal</v>
      </c>
    </row>
    <row r="6" spans="1:17">
      <c r="A6" s="4" t="s">
        <v>27</v>
      </c>
      <c r="B6" s="4" t="s">
        <v>28</v>
      </c>
      <c r="C6" s="4" t="s">
        <v>8</v>
      </c>
      <c r="D6" s="4" t="s">
        <v>14</v>
      </c>
      <c r="E6" s="2">
        <v>28</v>
      </c>
      <c r="F6" s="2">
        <v>38000</v>
      </c>
      <c r="G6" s="2">
        <v>5</v>
      </c>
      <c r="H6" s="4" t="s">
        <v>20</v>
      </c>
      <c r="I6" s="2">
        <v>135000</v>
      </c>
      <c r="J6" s="2">
        <v>4</v>
      </c>
      <c r="K6" s="4" t="s">
        <v>16</v>
      </c>
      <c r="L6" t="str">
        <f t="shared" si="0"/>
        <v>low</v>
      </c>
      <c r="M6" t="str">
        <f t="shared" si="1"/>
        <v>medium</v>
      </c>
      <c r="N6">
        <f t="shared" si="2"/>
        <v>27000</v>
      </c>
      <c r="O6">
        <f t="shared" si="3"/>
        <v>27000</v>
      </c>
      <c r="P6" t="str">
        <f t="shared" si="4"/>
        <v>not eligible</v>
      </c>
      <c r="Q6" t="str">
        <f t="shared" si="5"/>
        <v>normal</v>
      </c>
    </row>
    <row r="7" spans="1:17">
      <c r="A7" s="4" t="s">
        <v>29</v>
      </c>
      <c r="B7" s="4" t="s">
        <v>30</v>
      </c>
      <c r="C7" s="4" t="s">
        <v>31</v>
      </c>
      <c r="D7" s="4" t="s">
        <v>19</v>
      </c>
      <c r="E7" s="2">
        <v>35</v>
      </c>
      <c r="F7" s="2">
        <v>50000</v>
      </c>
      <c r="G7" s="2">
        <v>9</v>
      </c>
      <c r="H7" s="4" t="s">
        <v>15</v>
      </c>
      <c r="I7" s="2">
        <v>150000</v>
      </c>
      <c r="J7" s="2">
        <v>1</v>
      </c>
      <c r="K7" s="4" t="s">
        <v>16</v>
      </c>
      <c r="L7" t="str">
        <f t="shared" si="0"/>
        <v>high</v>
      </c>
      <c r="M7" t="str">
        <f t="shared" si="1"/>
        <v>High</v>
      </c>
      <c r="N7">
        <f t="shared" si="2"/>
        <v>16666.666666666668</v>
      </c>
      <c r="O7">
        <f t="shared" si="3"/>
        <v>16666.666666666668</v>
      </c>
      <c r="P7" t="str">
        <f t="shared" si="4"/>
        <v>eligible</v>
      </c>
      <c r="Q7" t="str">
        <f t="shared" si="5"/>
        <v>normal</v>
      </c>
    </row>
    <row r="8" spans="1:17">
      <c r="A8" s="4" t="s">
        <v>32</v>
      </c>
      <c r="B8" s="4" t="s">
        <v>33</v>
      </c>
      <c r="C8" s="4" t="s">
        <v>13</v>
      </c>
      <c r="D8" s="4" t="s">
        <v>14</v>
      </c>
      <c r="E8" s="2">
        <v>23</v>
      </c>
      <c r="F8" s="2">
        <v>26000</v>
      </c>
      <c r="G8" s="2">
        <v>1</v>
      </c>
      <c r="H8" s="4" t="s">
        <v>20</v>
      </c>
      <c r="I8" s="2">
        <v>65000</v>
      </c>
      <c r="J8" s="2">
        <v>6</v>
      </c>
      <c r="K8" s="4" t="s">
        <v>34</v>
      </c>
      <c r="L8" t="str">
        <f t="shared" si="0"/>
        <v>low</v>
      </c>
      <c r="M8" t="str">
        <f t="shared" si="1"/>
        <v>Low</v>
      </c>
      <c r="N8">
        <f t="shared" si="2"/>
        <v>65000</v>
      </c>
      <c r="O8">
        <f t="shared" si="3"/>
        <v>65000</v>
      </c>
      <c r="P8" t="str">
        <f t="shared" si="4"/>
        <v>not eligible</v>
      </c>
      <c r="Q8" t="str">
        <f t="shared" si="5"/>
        <v>normal</v>
      </c>
    </row>
    <row r="9" spans="1:17">
      <c r="A9" s="4" t="s">
        <v>35</v>
      </c>
      <c r="B9" s="4" t="s">
        <v>36</v>
      </c>
      <c r="C9" s="4" t="s">
        <v>31</v>
      </c>
      <c r="D9" s="4" t="s">
        <v>19</v>
      </c>
      <c r="E9" s="2">
        <v>30</v>
      </c>
      <c r="F9" s="2">
        <v>45000</v>
      </c>
      <c r="G9" s="2">
        <v>0</v>
      </c>
      <c r="H9" s="4" t="s">
        <v>26</v>
      </c>
      <c r="I9" s="2">
        <v>110000</v>
      </c>
      <c r="J9" s="2">
        <v>7</v>
      </c>
      <c r="K9" s="4" t="s">
        <v>16</v>
      </c>
      <c r="L9" t="str">
        <f t="shared" si="0"/>
        <v>high</v>
      </c>
      <c r="M9" t="str">
        <f t="shared" si="1"/>
        <v>High</v>
      </c>
      <c r="N9" t="e">
        <f t="shared" si="2"/>
        <v>#DIV/0!</v>
      </c>
      <c r="O9" t="str">
        <f t="shared" si="3"/>
        <v>0 division error</v>
      </c>
      <c r="P9" t="str">
        <f t="shared" si="4"/>
        <v>not eligible</v>
      </c>
      <c r="Q9" t="str">
        <f t="shared" si="5"/>
        <v>normal</v>
      </c>
    </row>
    <row r="10" spans="1:17">
      <c r="A10" s="4" t="s">
        <v>37</v>
      </c>
      <c r="B10" s="4" t="s">
        <v>38</v>
      </c>
      <c r="C10" s="4" t="s">
        <v>23</v>
      </c>
      <c r="D10" s="4" t="s">
        <v>14</v>
      </c>
      <c r="E10" s="2">
        <v>27</v>
      </c>
      <c r="F10" s="2">
        <v>36000</v>
      </c>
      <c r="G10" s="2">
        <v>4</v>
      </c>
      <c r="H10" s="4" t="s">
        <v>20</v>
      </c>
      <c r="I10" s="2">
        <v>88000</v>
      </c>
      <c r="J10" s="2">
        <v>3</v>
      </c>
      <c r="K10" s="4" t="s">
        <v>16</v>
      </c>
      <c r="L10" t="str">
        <f t="shared" si="0"/>
        <v>low</v>
      </c>
      <c r="M10" t="str">
        <f t="shared" si="1"/>
        <v>medium</v>
      </c>
      <c r="N10">
        <f t="shared" si="2"/>
        <v>22000</v>
      </c>
      <c r="O10">
        <f t="shared" si="3"/>
        <v>22000</v>
      </c>
      <c r="P10" t="str">
        <f t="shared" si="4"/>
        <v>not eligible</v>
      </c>
      <c r="Q10" t="str">
        <f t="shared" si="5"/>
        <v>normal</v>
      </c>
    </row>
    <row r="11" spans="1:17">
      <c r="A11" s="4" t="s">
        <v>39</v>
      </c>
      <c r="B11" s="4" t="s">
        <v>40</v>
      </c>
      <c r="C11" s="4" t="s">
        <v>8</v>
      </c>
      <c r="D11" s="4" t="s">
        <v>19</v>
      </c>
      <c r="E11" s="2">
        <v>25</v>
      </c>
      <c r="F11" s="2">
        <v>30000</v>
      </c>
      <c r="G11" s="2">
        <v>2</v>
      </c>
      <c r="H11" s="4" t="s">
        <v>26</v>
      </c>
      <c r="I11" s="2">
        <v>105000</v>
      </c>
      <c r="J11" s="2">
        <v>10</v>
      </c>
      <c r="K11" s="4" t="s">
        <v>34</v>
      </c>
      <c r="L11" t="str">
        <f t="shared" si="0"/>
        <v>low</v>
      </c>
      <c r="M11" t="str">
        <f t="shared" si="1"/>
        <v>Low</v>
      </c>
      <c r="N11">
        <f t="shared" si="2"/>
        <v>52500</v>
      </c>
      <c r="O11">
        <f t="shared" si="3"/>
        <v>52500</v>
      </c>
      <c r="P11" t="str">
        <f t="shared" si="4"/>
        <v>not eligible</v>
      </c>
      <c r="Q11" t="str">
        <f t="shared" si="5"/>
        <v>normal</v>
      </c>
    </row>
    <row r="12" spans="1:17">
      <c r="A12" s="4" t="s">
        <v>41</v>
      </c>
      <c r="B12" s="4" t="s">
        <v>42</v>
      </c>
      <c r="C12" s="4" t="s">
        <v>13</v>
      </c>
      <c r="D12" s="4" t="s">
        <v>14</v>
      </c>
      <c r="E12" s="2">
        <v>33</v>
      </c>
      <c r="F12" s="2">
        <v>48000</v>
      </c>
      <c r="G12" s="2">
        <v>8</v>
      </c>
      <c r="H12" s="4" t="s">
        <v>15</v>
      </c>
      <c r="I12" s="2">
        <v>125000</v>
      </c>
      <c r="J12" s="2">
        <v>2</v>
      </c>
      <c r="K12" s="4" t="s">
        <v>16</v>
      </c>
      <c r="L12" t="str">
        <f t="shared" si="0"/>
        <v>high</v>
      </c>
      <c r="M12" t="str">
        <f t="shared" si="1"/>
        <v>High</v>
      </c>
      <c r="N12">
        <f t="shared" si="2"/>
        <v>15625</v>
      </c>
      <c r="O12">
        <f t="shared" si="3"/>
        <v>15625</v>
      </c>
      <c r="P12" t="str">
        <f t="shared" si="4"/>
        <v>eligible</v>
      </c>
      <c r="Q12" t="str">
        <f t="shared" si="5"/>
        <v>normal</v>
      </c>
    </row>
    <row r="13" spans="1:17">
      <c r="A13" s="4" t="s">
        <v>43</v>
      </c>
      <c r="B13" s="4" t="s">
        <v>44</v>
      </c>
      <c r="C13" s="4" t="s">
        <v>31</v>
      </c>
      <c r="D13" s="4" t="s">
        <v>19</v>
      </c>
      <c r="E13" s="2">
        <v>38</v>
      </c>
      <c r="F13" s="2">
        <v>55000</v>
      </c>
      <c r="G13" s="2">
        <v>12</v>
      </c>
      <c r="H13" s="4" t="s">
        <v>20</v>
      </c>
      <c r="I13" s="2">
        <v>160000</v>
      </c>
      <c r="J13" s="2">
        <v>4</v>
      </c>
      <c r="K13" s="4" t="s">
        <v>16</v>
      </c>
      <c r="L13" t="str">
        <f t="shared" si="0"/>
        <v>high</v>
      </c>
      <c r="M13" t="str">
        <f t="shared" si="1"/>
        <v>High</v>
      </c>
      <c r="N13">
        <f t="shared" si="2"/>
        <v>13333.333333333334</v>
      </c>
      <c r="O13">
        <f t="shared" si="3"/>
        <v>13333.333333333334</v>
      </c>
      <c r="P13" t="str">
        <f t="shared" si="4"/>
        <v>not eligible</v>
      </c>
      <c r="Q13" t="str">
        <f t="shared" si="5"/>
        <v>normal</v>
      </c>
    </row>
    <row r="14" spans="1:17">
      <c r="A14" s="4" t="s">
        <v>45</v>
      </c>
      <c r="B14" s="4" t="s">
        <v>46</v>
      </c>
      <c r="C14" s="4" t="s">
        <v>23</v>
      </c>
      <c r="D14" s="4" t="s">
        <v>14</v>
      </c>
      <c r="E14" s="2">
        <v>29</v>
      </c>
      <c r="F14" s="2">
        <v>40000</v>
      </c>
      <c r="G14" s="2">
        <v>5</v>
      </c>
      <c r="H14" s="4" t="s">
        <v>26</v>
      </c>
      <c r="I14" s="2">
        <v>92000</v>
      </c>
      <c r="J14" s="2">
        <v>6</v>
      </c>
      <c r="K14" s="4" t="s">
        <v>34</v>
      </c>
      <c r="L14" t="str">
        <f t="shared" si="0"/>
        <v>low</v>
      </c>
      <c r="M14" t="str">
        <f t="shared" si="1"/>
        <v>medium</v>
      </c>
      <c r="N14">
        <f t="shared" si="2"/>
        <v>18400</v>
      </c>
      <c r="O14">
        <f t="shared" si="3"/>
        <v>18400</v>
      </c>
      <c r="P14" t="str">
        <f t="shared" si="4"/>
        <v>not eligible</v>
      </c>
      <c r="Q14" t="str">
        <f t="shared" si="5"/>
        <v>normal</v>
      </c>
    </row>
    <row r="15" spans="1:17">
      <c r="A15" s="4" t="s">
        <v>47</v>
      </c>
      <c r="B15" s="4" t="s">
        <v>48</v>
      </c>
      <c r="C15" s="4" t="s">
        <v>8</v>
      </c>
      <c r="D15" s="4" t="s">
        <v>19</v>
      </c>
      <c r="E15" s="2">
        <v>32</v>
      </c>
      <c r="F15" s="2">
        <v>43000</v>
      </c>
      <c r="G15" s="2">
        <v>7</v>
      </c>
      <c r="H15" s="4" t="s">
        <v>15</v>
      </c>
      <c r="I15" s="2">
        <v>145000</v>
      </c>
      <c r="J15" s="2">
        <v>3</v>
      </c>
      <c r="K15" s="4" t="s">
        <v>16</v>
      </c>
      <c r="L15" t="str">
        <f t="shared" si="0"/>
        <v>low</v>
      </c>
      <c r="M15" t="str">
        <f t="shared" si="1"/>
        <v>medium</v>
      </c>
      <c r="N15">
        <f t="shared" si="2"/>
        <v>20714.285714285714</v>
      </c>
      <c r="O15">
        <f t="shared" si="3"/>
        <v>20714.285714285714</v>
      </c>
      <c r="P15" t="str">
        <f t="shared" si="4"/>
        <v>eligible</v>
      </c>
      <c r="Q15" t="str">
        <f t="shared" si="5"/>
        <v>normal</v>
      </c>
    </row>
    <row r="16" spans="1:17">
      <c r="A16" s="4" t="s">
        <v>49</v>
      </c>
      <c r="B16" s="4" t="s">
        <v>50</v>
      </c>
      <c r="C16" s="4" t="s">
        <v>13</v>
      </c>
      <c r="D16" s="4" t="s">
        <v>14</v>
      </c>
      <c r="E16" s="2">
        <v>26</v>
      </c>
      <c r="F16" s="2">
        <v>31000</v>
      </c>
      <c r="G16" s="2">
        <v>2</v>
      </c>
      <c r="H16" s="4" t="s">
        <v>20</v>
      </c>
      <c r="I16" s="2">
        <v>78000</v>
      </c>
      <c r="J16" s="2">
        <v>5</v>
      </c>
      <c r="K16" s="4" t="s">
        <v>34</v>
      </c>
      <c r="L16" t="str">
        <f t="shared" si="0"/>
        <v>low</v>
      </c>
      <c r="M16" t="str">
        <f t="shared" si="1"/>
        <v>Low</v>
      </c>
      <c r="N16">
        <f t="shared" si="2"/>
        <v>39000</v>
      </c>
      <c r="O16">
        <f t="shared" si="3"/>
        <v>39000</v>
      </c>
      <c r="P16" t="str">
        <f t="shared" si="4"/>
        <v>not eligible</v>
      </c>
      <c r="Q16" t="str">
        <f t="shared" si="5"/>
        <v>normal</v>
      </c>
    </row>
    <row r="18" spans="1:8" ht="18">
      <c r="A18" s="5" t="s">
        <v>51</v>
      </c>
    </row>
    <row r="19" spans="1:8">
      <c r="A19" s="6"/>
    </row>
    <row r="20" spans="1:8">
      <c r="A20" s="6" t="s">
        <v>52</v>
      </c>
      <c r="H20">
        <f>SUMIF(C2:C16,"IT",F2:F16)</f>
        <v>165000</v>
      </c>
    </row>
    <row r="21" spans="1:8">
      <c r="A21" s="6" t="s">
        <v>53</v>
      </c>
    </row>
    <row r="22" spans="1:8">
      <c r="A22" s="6" t="s">
        <v>54</v>
      </c>
    </row>
    <row r="23" spans="1:8">
      <c r="A23" s="6" t="s">
        <v>55</v>
      </c>
    </row>
    <row r="24" spans="1:8">
      <c r="A24" s="6" t="s">
        <v>56</v>
      </c>
      <c r="H24">
        <f>SUMIFS(F2:F16,C2:C16,"IT",K2:K16,K15)</f>
        <v>108000</v>
      </c>
    </row>
    <row r="25" spans="1:8">
      <c r="A25" s="6" t="s">
        <v>57</v>
      </c>
    </row>
    <row r="27" spans="1:8" ht="18">
      <c r="A27" s="5" t="s">
        <v>58</v>
      </c>
    </row>
    <row r="28" spans="1:8">
      <c r="A28" s="6"/>
    </row>
    <row r="29" spans="1:8">
      <c r="A29" s="6" t="s">
        <v>59</v>
      </c>
      <c r="H29">
        <f>COUNTIF(C2:C16,C16)</f>
        <v>5</v>
      </c>
    </row>
    <row r="30" spans="1:8">
      <c r="A30" s="6" t="s">
        <v>60</v>
      </c>
    </row>
    <row r="31" spans="1:8">
      <c r="A31" s="6" t="s">
        <v>61</v>
      </c>
    </row>
    <row r="32" spans="1:8">
      <c r="A32" s="6" t="s">
        <v>62</v>
      </c>
      <c r="H32">
        <f>COUNTIF(J2:J16,"&gt;5")</f>
        <v>5</v>
      </c>
    </row>
    <row r="33" spans="1:8">
      <c r="A33" s="6" t="s">
        <v>63</v>
      </c>
      <c r="H33">
        <f>COUNTIFS(K2:K16,K16,H2:H16,H3)</f>
        <v>2</v>
      </c>
    </row>
    <row r="34" spans="1:8">
      <c r="A34" s="6" t="s">
        <v>64</v>
      </c>
    </row>
    <row r="36" spans="1:8" ht="18">
      <c r="A36" s="5" t="s">
        <v>65</v>
      </c>
    </row>
    <row r="37" spans="1:8">
      <c r="A37" s="6"/>
    </row>
    <row r="38" spans="1:8">
      <c r="A38" s="6" t="s">
        <v>66</v>
      </c>
      <c r="H38">
        <f>AVERAGEIF(C2:C16,C12,F2:F16)</f>
        <v>33000</v>
      </c>
    </row>
    <row r="39" spans="1:8">
      <c r="A39" s="6" t="s">
        <v>67</v>
      </c>
    </row>
    <row r="40" spans="1:8">
      <c r="A40" s="6" t="s">
        <v>68</v>
      </c>
    </row>
    <row r="41" spans="1:8">
      <c r="A41" s="6" t="s">
        <v>69</v>
      </c>
    </row>
    <row r="42" spans="1:8">
      <c r="A42" s="6" t="s">
        <v>70</v>
      </c>
    </row>
    <row r="43" spans="1:8">
      <c r="A43" s="6" t="s">
        <v>71</v>
      </c>
    </row>
    <row r="45" spans="1:8" ht="18">
      <c r="A45" s="5" t="s">
        <v>72</v>
      </c>
    </row>
    <row r="46" spans="1:8">
      <c r="A46" s="6"/>
    </row>
    <row r="47" spans="1:8">
      <c r="A47" s="6" t="s">
        <v>73</v>
      </c>
    </row>
    <row r="48" spans="1:8">
      <c r="A48" s="6"/>
    </row>
    <row r="49" spans="1:1">
      <c r="A49" s="6" t="s">
        <v>74</v>
      </c>
    </row>
    <row r="50" spans="1:1">
      <c r="A50" s="6" t="s">
        <v>75</v>
      </c>
    </row>
    <row r="51" spans="1:1">
      <c r="A51" s="6" t="s">
        <v>76</v>
      </c>
    </row>
    <row r="52" spans="1:1">
      <c r="A52" s="6"/>
    </row>
    <row r="53" spans="1:1">
      <c r="A53" s="6" t="s">
        <v>77</v>
      </c>
    </row>
    <row r="54" spans="1:1">
      <c r="A54" s="6"/>
    </row>
    <row r="55" spans="1:1">
      <c r="A55" s="6" t="s">
        <v>78</v>
      </c>
    </row>
    <row r="56" spans="1:1">
      <c r="A56" s="6" t="s">
        <v>79</v>
      </c>
    </row>
    <row r="57" spans="1:1">
      <c r="A57" s="6" t="s">
        <v>80</v>
      </c>
    </row>
    <row r="58" spans="1:1">
      <c r="A58" s="6"/>
    </row>
    <row r="59" spans="1:1">
      <c r="A59" s="6" t="s">
        <v>81</v>
      </c>
    </row>
    <row r="60" spans="1:1">
      <c r="A60" s="6"/>
    </row>
    <row r="61" spans="1:1">
      <c r="A61" s="6" t="s">
        <v>82</v>
      </c>
    </row>
    <row r="62" spans="1:1">
      <c r="A62" s="6" t="s">
        <v>83</v>
      </c>
    </row>
    <row r="63" spans="1:1">
      <c r="A63" s="6" t="s">
        <v>84</v>
      </c>
    </row>
    <row r="65" spans="1:1" ht="18">
      <c r="A65" s="5" t="s">
        <v>85</v>
      </c>
    </row>
    <row r="66" spans="1:1">
      <c r="A66" s="6"/>
    </row>
    <row r="67" spans="1:1">
      <c r="A67" s="6" t="s">
        <v>86</v>
      </c>
    </row>
    <row r="68" spans="1:1">
      <c r="A68" s="6" t="s">
        <v>87</v>
      </c>
    </row>
    <row r="70" spans="1:1" ht="18">
      <c r="A70" s="5" t="s">
        <v>88</v>
      </c>
    </row>
    <row r="71" spans="1:1">
      <c r="A71" s="6"/>
    </row>
    <row r="72" spans="1:1">
      <c r="A72" s="6" t="s">
        <v>89</v>
      </c>
    </row>
    <row r="73" spans="1:1">
      <c r="A73" s="6" t="s">
        <v>90</v>
      </c>
    </row>
    <row r="74" spans="1:1">
      <c r="A74" s="6" t="s">
        <v>91</v>
      </c>
    </row>
    <row r="75" spans="1:1">
      <c r="A75" s="6" t="s">
        <v>92</v>
      </c>
    </row>
    <row r="76" spans="1:1">
      <c r="A76" s="6" t="s">
        <v>93</v>
      </c>
    </row>
    <row r="77" spans="1:1">
      <c r="A77" s="6" t="s">
        <v>94</v>
      </c>
    </row>
    <row r="79" spans="1:1" ht="18">
      <c r="A79" s="5" t="s">
        <v>95</v>
      </c>
    </row>
    <row r="80" spans="1:1">
      <c r="A80" s="6"/>
    </row>
    <row r="81" spans="1:1">
      <c r="A81" s="6" t="s">
        <v>96</v>
      </c>
    </row>
    <row r="82" spans="1:1">
      <c r="A82" s="6"/>
    </row>
    <row r="83" spans="1:1">
      <c r="A83" s="6" t="s">
        <v>97</v>
      </c>
    </row>
    <row r="84" spans="1:1">
      <c r="A84" s="6" t="s">
        <v>98</v>
      </c>
    </row>
    <row r="85" spans="1:1">
      <c r="A85" s="6" t="s">
        <v>99</v>
      </c>
    </row>
    <row r="86" spans="1:1">
      <c r="A86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S CHACKO</dc:creator>
  <cp:lastModifiedBy>LIJO S CHACKO</cp:lastModifiedBy>
  <dcterms:created xsi:type="dcterms:W3CDTF">2026-09-17T07:31:53Z</dcterms:created>
  <dcterms:modified xsi:type="dcterms:W3CDTF">2026-09-17T09:13:09Z</dcterms:modified>
</cp:coreProperties>
</file>