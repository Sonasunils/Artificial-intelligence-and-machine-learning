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Downloads\"/>
    </mc:Choice>
  </mc:AlternateContent>
  <xr:revisionPtr revIDLastSave="0" documentId="8_{043991ED-8C29-4D46-ADBC-58B401FDA340}" xr6:coauthVersionLast="47" xr6:coauthVersionMax="47" xr10:uidLastSave="{00000000-0000-0000-0000-000000000000}"/>
  <bookViews>
    <workbookView xWindow="-108" yWindow="-108" windowWidth="23256" windowHeight="12456" xr2:uid="{98ACBD33-B909-4CEB-9D9F-9B9BC3BAD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J14" i="1"/>
  <c r="G75" i="1"/>
  <c r="H64" i="1"/>
  <c r="E58" i="1"/>
  <c r="E86" i="1"/>
  <c r="E78" i="1"/>
  <c r="F50" i="1"/>
  <c r="H40" i="1"/>
  <c r="G32" i="1"/>
  <c r="G24" i="1"/>
  <c r="E16" i="1"/>
</calcChain>
</file>

<file path=xl/sharedStrings.xml><?xml version="1.0" encoding="utf-8"?>
<sst xmlns="http://schemas.openxmlformats.org/spreadsheetml/2006/main" count="78" uniqueCount="62">
  <si>
    <t>ID</t>
  </si>
  <si>
    <t>Employee</t>
  </si>
  <si>
    <t>Department</t>
  </si>
  <si>
    <t>Sales</t>
  </si>
  <si>
    <t>E101</t>
  </si>
  <si>
    <t>Anu</t>
  </si>
  <si>
    <t>E102</t>
  </si>
  <si>
    <t>Rahul</t>
  </si>
  <si>
    <t>Marketing</t>
  </si>
  <si>
    <t>E103</t>
  </si>
  <si>
    <t>Meera</t>
  </si>
  <si>
    <t>E104</t>
  </si>
  <si>
    <t>Arun</t>
  </si>
  <si>
    <t>HR</t>
  </si>
  <si>
    <t>E105</t>
  </si>
  <si>
    <t>Neha</t>
  </si>
  <si>
    <t>E106</t>
  </si>
  <si>
    <t>Vishnu</t>
  </si>
  <si>
    <t>E107</t>
  </si>
  <si>
    <t>Amal</t>
  </si>
  <si>
    <t>E108</t>
  </si>
  <si>
    <t>Diya</t>
  </si>
  <si>
    <t>E109</t>
  </si>
  <si>
    <t>Sree</t>
  </si>
  <si>
    <t>E110</t>
  </si>
  <si>
    <t>Akhil</t>
  </si>
  <si>
    <t>Gender</t>
  </si>
  <si>
    <t>Salary</t>
  </si>
  <si>
    <t>Attendance</t>
  </si>
  <si>
    <t>Experience</t>
  </si>
  <si>
    <t>Female</t>
  </si>
  <si>
    <t>Male</t>
  </si>
  <si>
    <t>1. SUM</t>
  </si>
  <si>
    <r>
      <t xml:space="preserve">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of all employees.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</si>
  <si>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SUM()</t>
    </r>
  </si>
  <si>
    <t>2. SUMIF</t>
  </si>
  <si>
    <r>
      <t xml:space="preserve">Find the </t>
    </r>
    <r>
      <rPr>
        <b/>
        <sz val="11"/>
        <color theme="1"/>
        <rFont val="Calibri"/>
        <family val="2"/>
        <scheme val="minor"/>
      </rPr>
      <t>total Sales generated by the Sales department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</si>
  <si>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SUMIF()</t>
    </r>
  </si>
  <si>
    <t>3. SUMIFS</t>
  </si>
  <si>
    <r>
      <t xml:space="preserve">Find the </t>
    </r>
    <r>
      <rPr>
        <b/>
        <sz val="11"/>
        <color theme="1"/>
        <rFont val="Calibri"/>
        <family val="2"/>
        <scheme val="minor"/>
      </rPr>
      <t>total Sales of Male employees in the Sales department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</si>
  <si>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SUMIFS()</t>
    </r>
  </si>
  <si>
    <t>4. COUNTIF</t>
  </si>
  <si>
    <r>
      <t xml:space="preserve">Count the number of employees whose </t>
    </r>
    <r>
      <rPr>
        <b/>
        <sz val="11"/>
        <color theme="1"/>
        <rFont val="Calibri"/>
        <family val="2"/>
        <scheme val="minor"/>
      </rPr>
      <t>Sales are greater than ₹80,000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</si>
  <si>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COUNTIF()</t>
    </r>
  </si>
  <si>
    <t>5. COUNTIFS</t>
  </si>
  <si>
    <r>
      <t xml:space="preserve">Count the number of </t>
    </r>
    <r>
      <rPr>
        <b/>
        <sz val="11"/>
        <color theme="1"/>
        <rFont val="Calibri"/>
        <family val="2"/>
        <scheme val="minor"/>
      </rPr>
      <t>Female employees in the Sales department</t>
    </r>
    <r>
      <rPr>
        <sz val="11"/>
        <color theme="1"/>
        <rFont val="Calibri"/>
        <family val="2"/>
        <scheme val="minor"/>
      </rPr>
      <t xml:space="preserve"> whose </t>
    </r>
    <r>
      <rPr>
        <b/>
        <sz val="11"/>
        <color theme="1"/>
        <rFont val="Calibri"/>
        <family val="2"/>
        <scheme val="minor"/>
      </rPr>
      <t>Attendance is greater than 90%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</si>
  <si>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COUNTIFS()</t>
    </r>
  </si>
  <si>
    <t>6. AVERAGE</t>
  </si>
  <si>
    <r>
      <t xml:space="preserve">Find the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of all employees.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</si>
  <si>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AVERAGE()</t>
    </r>
  </si>
  <si>
    <t>7. AVERAGEIF</t>
  </si>
  <si>
    <r>
      <t xml:space="preserve">Find the </t>
    </r>
    <r>
      <rPr>
        <b/>
        <sz val="11"/>
        <color theme="1"/>
        <rFont val="Calibri"/>
        <family val="2"/>
        <scheme val="minor"/>
      </rPr>
      <t>average Sales of employees in the Marketing department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</si>
  <si>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AVERAGEIF()</t>
    </r>
  </si>
  <si>
    <t>8. AVERAGEIFS</t>
  </si>
  <si>
    <r>
      <t xml:space="preserve">Find the </t>
    </r>
    <r>
      <rPr>
        <b/>
        <sz val="11"/>
        <color theme="1"/>
        <rFont val="Calibri"/>
        <family val="2"/>
        <scheme val="minor"/>
      </rPr>
      <t>average Sales of Female employees in the Sales department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</si>
  <si>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AVERAGEIFS()</t>
    </r>
  </si>
  <si>
    <t>9. MAX</t>
  </si>
  <si>
    <r>
      <t xml:space="preserve">Find the </t>
    </r>
    <r>
      <rPr>
        <b/>
        <sz val="11"/>
        <color theme="1"/>
        <rFont val="Calibri"/>
        <family val="2"/>
        <scheme val="minor"/>
      </rPr>
      <t>highest Sales amount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</si>
  <si>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MAX()</t>
    </r>
  </si>
  <si>
    <t>10. MIN</t>
  </si>
  <si>
    <r>
      <t xml:space="preserve">Find the </t>
    </r>
    <r>
      <rPr>
        <b/>
        <sz val="11"/>
        <color theme="1"/>
        <rFont val="Calibri"/>
        <family val="2"/>
        <scheme val="minor"/>
      </rPr>
      <t>lowest Sales amount</t>
    </r>
    <r>
      <rPr>
        <sz val="11"/>
        <color theme="1"/>
        <rFont val="Calibri"/>
        <family val="2"/>
        <scheme val="minor"/>
      </rPr>
      <t>.</t>
    </r>
  </si>
  <si>
    <r>
      <t>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MIN()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</si>
</sst>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E010-BA0B-4A3E-8DCE-343C323B76A5}">
  <dimension ref="A1:M90"/>
  <sheetViews>
    <sheetView tabSelected="1" workbookViewId="0">
      <selection activeCell="L1" sqref="L1"/>
    </sheetView>
  </sheetViews>
  <sheetFormatPr defaultRowHeight="14.4"/>
  <sheetData>
    <row r="1" spans="1:13" ht="28.8">
      <c r="A1" s="1" t="s">
        <v>0</v>
      </c>
      <c r="B1" s="1" t="s">
        <v>1</v>
      </c>
      <c r="C1" s="1" t="s">
        <v>2</v>
      </c>
      <c r="D1" s="1" t="s">
        <v>26</v>
      </c>
      <c r="E1" s="6" t="s">
        <v>27</v>
      </c>
      <c r="F1" s="6" t="s">
        <v>3</v>
      </c>
      <c r="G1" s="6" t="s">
        <v>28</v>
      </c>
      <c r="H1" s="6" t="s">
        <v>29</v>
      </c>
    </row>
    <row r="2" spans="1:13">
      <c r="A2" s="2" t="s">
        <v>4</v>
      </c>
      <c r="B2" s="2" t="s">
        <v>5</v>
      </c>
      <c r="C2" s="2" t="s">
        <v>3</v>
      </c>
      <c r="D2" s="2" t="s">
        <v>30</v>
      </c>
      <c r="E2" s="5">
        <v>25000</v>
      </c>
      <c r="F2" s="5">
        <v>85000</v>
      </c>
      <c r="G2" s="5">
        <v>92</v>
      </c>
      <c r="H2" s="5">
        <v>2</v>
      </c>
      <c r="K2" s="5"/>
      <c r="L2" s="5"/>
      <c r="M2" s="5"/>
    </row>
    <row r="3" spans="1:13" ht="28.8">
      <c r="A3" s="2" t="s">
        <v>6</v>
      </c>
      <c r="B3" s="2" t="s">
        <v>7</v>
      </c>
      <c r="C3" s="2" t="s">
        <v>8</v>
      </c>
      <c r="D3" s="2" t="s">
        <v>31</v>
      </c>
      <c r="E3" s="5">
        <v>28000</v>
      </c>
      <c r="F3" s="5">
        <v>72000</v>
      </c>
      <c r="G3" s="5">
        <v>78</v>
      </c>
      <c r="H3" s="5">
        <v>3</v>
      </c>
      <c r="K3" s="5"/>
      <c r="M3" s="5"/>
    </row>
    <row r="4" spans="1:13">
      <c r="A4" s="2" t="s">
        <v>9</v>
      </c>
      <c r="B4" s="2" t="s">
        <v>10</v>
      </c>
      <c r="C4" s="2" t="s">
        <v>3</v>
      </c>
      <c r="D4" s="2" t="s">
        <v>30</v>
      </c>
      <c r="E4" s="5">
        <v>30000</v>
      </c>
      <c r="F4" s="5">
        <v>95000</v>
      </c>
      <c r="G4" s="5">
        <v>96</v>
      </c>
      <c r="H4" s="5">
        <v>4</v>
      </c>
      <c r="L4" s="5"/>
      <c r="M4" s="5"/>
    </row>
    <row r="5" spans="1:13">
      <c r="A5" s="2" t="s">
        <v>11</v>
      </c>
      <c r="B5" s="2" t="s">
        <v>12</v>
      </c>
      <c r="C5" s="2" t="s">
        <v>13</v>
      </c>
      <c r="D5" s="2" t="s">
        <v>31</v>
      </c>
      <c r="E5" s="5">
        <v>27000</v>
      </c>
      <c r="F5" s="5">
        <v>58000</v>
      </c>
      <c r="G5" s="5">
        <v>71</v>
      </c>
      <c r="H5" s="5">
        <v>1</v>
      </c>
      <c r="K5" s="5"/>
      <c r="M5" s="5"/>
    </row>
    <row r="6" spans="1:13">
      <c r="A6" s="2" t="s">
        <v>14</v>
      </c>
      <c r="B6" s="2" t="s">
        <v>15</v>
      </c>
      <c r="C6" s="2" t="s">
        <v>3</v>
      </c>
      <c r="D6" s="2" t="s">
        <v>30</v>
      </c>
      <c r="E6" s="5">
        <v>32000</v>
      </c>
      <c r="F6" s="5">
        <v>110000</v>
      </c>
      <c r="G6" s="5">
        <v>89</v>
      </c>
      <c r="H6" s="5">
        <v>5</v>
      </c>
      <c r="K6" s="5"/>
      <c r="L6" s="5"/>
      <c r="M6" s="5"/>
    </row>
    <row r="7" spans="1:13" ht="28.8">
      <c r="A7" s="2" t="s">
        <v>16</v>
      </c>
      <c r="B7" s="2" t="s">
        <v>17</v>
      </c>
      <c r="C7" s="2" t="s">
        <v>8</v>
      </c>
      <c r="D7" s="2" t="s">
        <v>31</v>
      </c>
      <c r="E7" s="5">
        <v>26000</v>
      </c>
      <c r="F7" s="5">
        <v>68000</v>
      </c>
      <c r="G7" s="5">
        <v>83</v>
      </c>
      <c r="H7" s="5">
        <v>2</v>
      </c>
      <c r="M7" s="5"/>
    </row>
    <row r="8" spans="1:13">
      <c r="A8" s="2" t="s">
        <v>18</v>
      </c>
      <c r="B8" s="2" t="s">
        <v>19</v>
      </c>
      <c r="C8" s="2" t="s">
        <v>3</v>
      </c>
      <c r="D8" s="2" t="s">
        <v>31</v>
      </c>
      <c r="E8" s="5">
        <v>35000</v>
      </c>
      <c r="F8" s="5">
        <v>125000</v>
      </c>
      <c r="G8" s="5">
        <v>97</v>
      </c>
      <c r="H8" s="5">
        <v>6</v>
      </c>
      <c r="K8" s="5"/>
      <c r="L8" s="5"/>
      <c r="M8" s="5"/>
    </row>
    <row r="9" spans="1:13">
      <c r="A9" s="2" t="s">
        <v>20</v>
      </c>
      <c r="B9" s="2" t="s">
        <v>21</v>
      </c>
      <c r="C9" s="2" t="s">
        <v>13</v>
      </c>
      <c r="D9" s="2" t="s">
        <v>30</v>
      </c>
      <c r="E9" s="5">
        <v>24000</v>
      </c>
      <c r="F9" s="5">
        <v>45000</v>
      </c>
      <c r="G9" s="5">
        <v>69</v>
      </c>
      <c r="H9" s="5">
        <v>1</v>
      </c>
      <c r="K9" s="5"/>
      <c r="M9" s="5"/>
    </row>
    <row r="10" spans="1:13" ht="28.8">
      <c r="A10" s="2" t="s">
        <v>22</v>
      </c>
      <c r="B10" s="2" t="s">
        <v>23</v>
      </c>
      <c r="C10" s="2" t="s">
        <v>8</v>
      </c>
      <c r="D10" s="2" t="s">
        <v>30</v>
      </c>
      <c r="E10" s="5">
        <v>29000</v>
      </c>
      <c r="F10" s="5">
        <v>79000</v>
      </c>
      <c r="G10" s="5">
        <v>88</v>
      </c>
      <c r="H10" s="5">
        <v>3</v>
      </c>
      <c r="L10" s="5"/>
      <c r="M10" s="5"/>
    </row>
    <row r="11" spans="1:13">
      <c r="A11" s="2" t="s">
        <v>24</v>
      </c>
      <c r="B11" s="2" t="s">
        <v>25</v>
      </c>
      <c r="C11" s="2" t="s">
        <v>3</v>
      </c>
      <c r="D11" s="2" t="s">
        <v>31</v>
      </c>
      <c r="E11" s="5">
        <v>31000</v>
      </c>
      <c r="F11" s="5">
        <v>102000</v>
      </c>
      <c r="G11" s="5">
        <v>91</v>
      </c>
      <c r="H11" s="5">
        <v>4</v>
      </c>
      <c r="K11" s="5"/>
      <c r="M11" s="5"/>
    </row>
    <row r="13" spans="1:13" ht="23.4">
      <c r="A13" s="3"/>
    </row>
    <row r="14" spans="1:13" ht="18">
      <c r="A14" s="4" t="s">
        <v>32</v>
      </c>
      <c r="I14">
        <f>COUNT(G2:G11)</f>
        <v>10</v>
      </c>
      <c r="J14">
        <f>COUNTA(B2:B11)</f>
        <v>10</v>
      </c>
    </row>
    <row r="16" spans="1:13">
      <c r="A16" t="s">
        <v>33</v>
      </c>
      <c r="E16">
        <f>SUM(F2:F11)</f>
        <v>839000</v>
      </c>
    </row>
    <row r="18" spans="1:7">
      <c r="A18" s="7" t="s">
        <v>34</v>
      </c>
    </row>
    <row r="22" spans="1:7" ht="18">
      <c r="A22" s="4" t="s">
        <v>35</v>
      </c>
    </row>
    <row r="24" spans="1:7">
      <c r="A24" t="s">
        <v>36</v>
      </c>
      <c r="G24">
        <f>SUMIF(C2:C11,C2,F2:F11)</f>
        <v>517000</v>
      </c>
    </row>
    <row r="26" spans="1:7">
      <c r="A26" s="7" t="s">
        <v>37</v>
      </c>
    </row>
    <row r="30" spans="1:7" ht="18">
      <c r="A30" s="4" t="s">
        <v>38</v>
      </c>
    </row>
    <row r="32" spans="1:7">
      <c r="A32" t="s">
        <v>39</v>
      </c>
      <c r="G32">
        <f>SUMIFS(F2:F11,C2:C11,C2,D2:D11,D3)</f>
        <v>227000</v>
      </c>
    </row>
    <row r="34" spans="1:8">
      <c r="A34" s="7" t="s">
        <v>40</v>
      </c>
    </row>
    <row r="38" spans="1:8" ht="18">
      <c r="A38" s="4" t="s">
        <v>41</v>
      </c>
    </row>
    <row r="40" spans="1:8">
      <c r="A40" t="s">
        <v>42</v>
      </c>
      <c r="H40">
        <f>COUNTIF(F2:F11,"&gt;80000")</f>
        <v>5</v>
      </c>
    </row>
    <row r="42" spans="1:8">
      <c r="A42" s="7" t="s">
        <v>43</v>
      </c>
    </row>
    <row r="46" spans="1:8" ht="18">
      <c r="A46" s="4" t="s">
        <v>44</v>
      </c>
    </row>
    <row r="48" spans="1:8">
      <c r="A48" t="s">
        <v>45</v>
      </c>
    </row>
    <row r="50" spans="1:8">
      <c r="A50" s="7" t="s">
        <v>46</v>
      </c>
      <c r="F50">
        <f>COUNTIFS(D2:D11,"female",G2:G11,"&gt;90")</f>
        <v>2</v>
      </c>
    </row>
    <row r="54" spans="1:8" ht="18">
      <c r="A54" s="4" t="s">
        <v>47</v>
      </c>
    </row>
    <row r="56" spans="1:8">
      <c r="A56" t="s">
        <v>48</v>
      </c>
    </row>
    <row r="58" spans="1:8">
      <c r="A58" s="7" t="s">
        <v>49</v>
      </c>
      <c r="E58">
        <f>AVERAGE(F2:F11)</f>
        <v>83900</v>
      </c>
    </row>
    <row r="62" spans="1:8" ht="18">
      <c r="A62" s="4" t="s">
        <v>50</v>
      </c>
    </row>
    <row r="64" spans="1:8">
      <c r="A64" t="s">
        <v>51</v>
      </c>
      <c r="H64">
        <f>AVERAGEIF(C2:C11,"marketing",F2:F11)</f>
        <v>73000</v>
      </c>
    </row>
    <row r="66" spans="1:7">
      <c r="A66" s="7" t="s">
        <v>52</v>
      </c>
    </row>
    <row r="70" spans="1:7" ht="18">
      <c r="A70" s="4" t="s">
        <v>53</v>
      </c>
    </row>
    <row r="72" spans="1:7">
      <c r="A72" t="s">
        <v>54</v>
      </c>
    </row>
    <row r="74" spans="1:7">
      <c r="A74" s="7" t="s">
        <v>55</v>
      </c>
    </row>
    <row r="75" spans="1:7">
      <c r="G75">
        <f>AVERAGEIFS(F2:F11,D2:D11,D2,C2:C11,C2)</f>
        <v>96666.666666666672</v>
      </c>
    </row>
    <row r="78" spans="1:7" ht="18">
      <c r="A78" s="4" t="s">
        <v>56</v>
      </c>
      <c r="E78">
        <f>MAX(F2:F11)</f>
        <v>125000</v>
      </c>
    </row>
    <row r="80" spans="1:7">
      <c r="A80" t="s">
        <v>57</v>
      </c>
    </row>
    <row r="82" spans="1:5">
      <c r="A82" s="7" t="s">
        <v>58</v>
      </c>
    </row>
    <row r="86" spans="1:5" ht="18">
      <c r="A86" s="4" t="s">
        <v>59</v>
      </c>
      <c r="E86">
        <f>MIN(F2:F11)</f>
        <v>45000</v>
      </c>
    </row>
    <row r="88" spans="1:5">
      <c r="A88" t="s">
        <v>60</v>
      </c>
    </row>
    <row r="90" spans="1:5">
      <c r="A90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 S CHACKO</cp:lastModifiedBy>
  <dcterms:created xsi:type="dcterms:W3CDTF">2026-09-15T08:35:27Z</dcterms:created>
  <dcterms:modified xsi:type="dcterms:W3CDTF">2026-09-15T09:13:36Z</dcterms:modified>
</cp:coreProperties>
</file>