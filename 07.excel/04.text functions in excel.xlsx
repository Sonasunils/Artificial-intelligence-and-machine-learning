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<sst xmlns="http://schemas.openxmlformats.org/spreadsheetml/2006/main" count="184" uniqueCount="156">
  <si>
    <t>ID</t>
  </si>
  <si>
    <t>Employee Name</t>
  </si>
  <si>
    <t>Department</t>
  </si>
  <si>
    <t>City</t>
  </si>
  <si>
    <t>Employee Code</t>
  </si>
  <si>
    <t>Email</t>
  </si>
  <si>
    <t>Phone</t>
  </si>
  <si>
    <t>Remarks</t>
  </si>
  <si>
    <t>upper</t>
  </si>
  <si>
    <t>lower</t>
  </si>
  <si>
    <t>proper</t>
  </si>
  <si>
    <t>left</t>
  </si>
  <si>
    <t>mid</t>
  </si>
  <si>
    <t>right</t>
  </si>
  <si>
    <t>trim</t>
  </si>
  <si>
    <t>len</t>
  </si>
  <si>
    <t>cont</t>
  </si>
  <si>
    <t>find</t>
  </si>
  <si>
    <t>sub</t>
  </si>
  <si>
    <t>E001</t>
  </si>
  <si>
    <t>anu kumari</t>
  </si>
  <si>
    <t>Information Technology</t>
  </si>
  <si>
    <t>Thiruvananthapuram</t>
  </si>
  <si>
    <t>IT-2026-001</t>
  </si>
  <si>
    <t>anu.kumari@gmail.com</t>
  </si>
  <si>
    <t>Excellent Employee</t>
  </si>
  <si>
    <t>E002</t>
  </si>
  <si>
    <t>RAHUL MENON</t>
  </si>
  <si>
    <t>Sales</t>
  </si>
  <si>
    <t>Kochi</t>
  </si>
  <si>
    <t>SL-2026-002</t>
  </si>
  <si>
    <t>rahul.menon@gmail.com</t>
  </si>
  <si>
    <t>Good Performer</t>
  </si>
  <si>
    <t>E003</t>
  </si>
  <si>
    <t>meera NAIR</t>
  </si>
  <si>
    <t>Human Resources</t>
  </si>
  <si>
    <t>Kollam</t>
  </si>
  <si>
    <t>HR-2026-003</t>
  </si>
  <si>
    <t>meera.nair@gmail.com</t>
  </si>
  <si>
    <t>Very Good Employee</t>
  </si>
  <si>
    <t>E004</t>
  </si>
  <si>
    <t>Arun Kumar</t>
  </si>
  <si>
    <t>Kottayam</t>
  </si>
  <si>
    <t>IT-2026-004</t>
  </si>
  <si>
    <t>arun.kumar@gmail.com</t>
  </si>
  <si>
    <t>Needs Improvement</t>
  </si>
  <si>
    <t>E005</t>
  </si>
  <si>
    <t>sneha jose</t>
  </si>
  <si>
    <t>Ernakulam</t>
  </si>
  <si>
    <t>SL-2026-005</t>
  </si>
  <si>
    <t>sneha.jose@gmail.com</t>
  </si>
  <si>
    <t>Excellent Performer</t>
  </si>
  <si>
    <t>E006</t>
  </si>
  <si>
    <t>VISHNU DAS</t>
  </si>
  <si>
    <t>Finance</t>
  </si>
  <si>
    <t>Alappuzha</t>
  </si>
  <si>
    <t>FN-2026-006</t>
  </si>
  <si>
    <t>vishnu.das@gmail.com</t>
  </si>
  <si>
    <t>Good Employee</t>
  </si>
  <si>
    <t>E007</t>
  </si>
  <si>
    <t>diya roy</t>
  </si>
  <si>
    <t>Kannur</t>
  </si>
  <si>
    <t>IT-2026-007</t>
  </si>
  <si>
    <t>diya.roy@gmail.com</t>
  </si>
  <si>
    <t>E008</t>
  </si>
  <si>
    <t>Nikhil Varma</t>
  </si>
  <si>
    <t>Thrissur</t>
  </si>
  <si>
    <t>FN-2026-008</t>
  </si>
  <si>
    <t>nikhil.varma@gmail.com</t>
  </si>
  <si>
    <t>Average Employee</t>
  </si>
  <si>
    <t>E009</t>
  </si>
  <si>
    <t>FATHIMA ALI</t>
  </si>
  <si>
    <t>Malappuram</t>
  </si>
  <si>
    <t>HR-2026-009</t>
  </si>
  <si>
    <t>fathima.ali@gmail.com</t>
  </si>
  <si>
    <t>E010</t>
  </si>
  <si>
    <t>akhil raj</t>
  </si>
  <si>
    <t>Kozhikode</t>
  </si>
  <si>
    <t>SL-2026-010</t>
  </si>
  <si>
    <t>akhil.raj@gmail.com</t>
  </si>
  <si>
    <t>E011</t>
  </si>
  <si>
    <t>Lakshmi Menon</t>
  </si>
  <si>
    <t>IT-2026-011</t>
  </si>
  <si>
    <t>lakshmi.menon@gmail.com</t>
  </si>
  <si>
    <t>E012</t>
  </si>
  <si>
    <t>suresh babu</t>
  </si>
  <si>
    <t>Palakkad</t>
  </si>
  <si>
    <t>FN-2026-012</t>
  </si>
  <si>
    <t>suresh.babu@gmail.com</t>
  </si>
  <si>
    <t>E013</t>
  </si>
  <si>
    <t>NEHA KRISHNAN</t>
  </si>
  <si>
    <t>Pathanamthitta</t>
  </si>
  <si>
    <t>HR-2026-013</t>
  </si>
  <si>
    <t>neha.krishnan@gmail.com</t>
  </si>
  <si>
    <t>E014</t>
  </si>
  <si>
    <t>Manu Mohan</t>
  </si>
  <si>
    <t>Idukki</t>
  </si>
  <si>
    <t>SL-2026-014</t>
  </si>
  <si>
    <t>manu.mohan@gmail.com</t>
  </si>
  <si>
    <t>E015</t>
  </si>
  <si>
    <t>riya paul</t>
  </si>
  <si>
    <t>Wayanad</t>
  </si>
  <si>
    <t>IT-2026-015</t>
  </si>
  <si>
    <t>riya.paul@gmail.com</t>
  </si>
  <si>
    <t>UPPER</t>
  </si>
  <si>
    <r>
      <rPr>
        <b/>
        <sz val="11"/>
        <color theme="1"/>
        <rFont val="Calibri"/>
        <charset val="134"/>
        <scheme val="minor"/>
      </rPr>
      <t>1.</t>
    </r>
    <r>
      <rPr>
        <sz val="11"/>
        <color theme="1"/>
        <rFont val="Calibri"/>
        <charset val="134"/>
        <scheme val="minor"/>
      </rPr>
      <t xml:space="preserve"> Convert all Employee Names into </t>
    </r>
    <r>
      <rPr>
        <b/>
        <sz val="11"/>
        <color theme="1"/>
        <rFont val="Calibri"/>
        <charset val="134"/>
        <scheme val="minor"/>
      </rPr>
      <t>UPPERCASE</t>
    </r>
    <r>
      <rPr>
        <sz val="11"/>
        <color theme="1"/>
        <rFont val="Calibri"/>
        <charset val="134"/>
        <scheme val="minor"/>
      </rPr>
      <t>.</t>
    </r>
  </si>
  <si>
    <r>
      <rPr>
        <b/>
        <sz val="11"/>
        <color theme="1"/>
        <rFont val="Calibri"/>
        <charset val="134"/>
        <scheme val="minor"/>
      </rPr>
      <t>2.</t>
    </r>
    <r>
      <rPr>
        <sz val="11"/>
        <color theme="1"/>
        <rFont val="Calibri"/>
        <charset val="134"/>
        <scheme val="minor"/>
      </rPr>
      <t xml:space="preserve"> Convert the Department names into </t>
    </r>
    <r>
      <rPr>
        <b/>
        <sz val="11"/>
        <color theme="1"/>
        <rFont val="Calibri"/>
        <charset val="134"/>
        <scheme val="minor"/>
      </rPr>
      <t>UPPERCASE</t>
    </r>
    <r>
      <rPr>
        <sz val="11"/>
        <color theme="1"/>
        <rFont val="Calibri"/>
        <charset val="134"/>
        <scheme val="minor"/>
      </rPr>
      <t>.</t>
    </r>
  </si>
  <si>
    <t>LOWER</t>
  </si>
  <si>
    <r>
      <rPr>
        <b/>
        <sz val="11"/>
        <color theme="1"/>
        <rFont val="Calibri"/>
        <charset val="134"/>
        <scheme val="minor"/>
      </rPr>
      <t>3.</t>
    </r>
    <r>
      <rPr>
        <sz val="11"/>
        <color theme="1"/>
        <rFont val="Calibri"/>
        <charset val="134"/>
        <scheme val="minor"/>
      </rPr>
      <t xml:space="preserve"> Convert all Employee Names into </t>
    </r>
    <r>
      <rPr>
        <b/>
        <sz val="11"/>
        <color theme="1"/>
        <rFont val="Calibri"/>
        <charset val="134"/>
        <scheme val="minor"/>
      </rPr>
      <t>lowercase</t>
    </r>
    <r>
      <rPr>
        <sz val="11"/>
        <color theme="1"/>
        <rFont val="Calibri"/>
        <charset val="134"/>
        <scheme val="minor"/>
      </rPr>
      <t>.</t>
    </r>
  </si>
  <si>
    <r>
      <rPr>
        <b/>
        <sz val="11"/>
        <color theme="1"/>
        <rFont val="Calibri"/>
        <charset val="134"/>
        <scheme val="minor"/>
      </rPr>
      <t>4.</t>
    </r>
    <r>
      <rPr>
        <sz val="11"/>
        <color theme="1"/>
        <rFont val="Calibri"/>
        <charset val="134"/>
        <scheme val="minor"/>
      </rPr>
      <t xml:space="preserve"> Convert all Email IDs into </t>
    </r>
    <r>
      <rPr>
        <b/>
        <sz val="11"/>
        <color theme="1"/>
        <rFont val="Calibri"/>
        <charset val="134"/>
        <scheme val="minor"/>
      </rPr>
      <t>lowercase</t>
    </r>
    <r>
      <rPr>
        <sz val="11"/>
        <color theme="1"/>
        <rFont val="Calibri"/>
        <charset val="134"/>
        <scheme val="minor"/>
      </rPr>
      <t>.</t>
    </r>
  </si>
  <si>
    <t>PROPER</t>
  </si>
  <si>
    <r>
      <rPr>
        <b/>
        <sz val="11"/>
        <color theme="1"/>
        <rFont val="Calibri"/>
        <charset val="134"/>
        <scheme val="minor"/>
      </rPr>
      <t>5.</t>
    </r>
    <r>
      <rPr>
        <sz val="11"/>
        <color theme="1"/>
        <rFont val="Calibri"/>
        <charset val="134"/>
        <scheme val="minor"/>
      </rPr>
      <t xml:space="preserve"> Convert the Employee Names into </t>
    </r>
    <r>
      <rPr>
        <b/>
        <sz val="11"/>
        <color theme="1"/>
        <rFont val="Calibri"/>
        <charset val="134"/>
        <scheme val="minor"/>
      </rPr>
      <t>Proper Case</t>
    </r>
    <r>
      <rPr>
        <sz val="11"/>
        <color theme="1"/>
        <rFont val="Calibri"/>
        <charset val="134"/>
        <scheme val="minor"/>
      </rPr>
      <t>.</t>
    </r>
  </si>
  <si>
    <r>
      <rPr>
        <b/>
        <sz val="11"/>
        <color theme="1"/>
        <rFont val="Calibri"/>
        <charset val="134"/>
        <scheme val="minor"/>
      </rPr>
      <t>6.</t>
    </r>
    <r>
      <rPr>
        <sz val="11"/>
        <color theme="1"/>
        <rFont val="Calibri"/>
        <charset val="134"/>
        <scheme val="minor"/>
      </rPr>
      <t xml:space="preserve"> Convert the Department names into </t>
    </r>
    <r>
      <rPr>
        <b/>
        <sz val="11"/>
        <color theme="1"/>
        <rFont val="Calibri"/>
        <charset val="134"/>
        <scheme val="minor"/>
      </rPr>
      <t>Proper Case</t>
    </r>
    <r>
      <rPr>
        <sz val="11"/>
        <color theme="1"/>
        <rFont val="Calibri"/>
        <charset val="134"/>
        <scheme val="minor"/>
      </rPr>
      <t>.</t>
    </r>
  </si>
  <si>
    <t>LEFT</t>
  </si>
  <si>
    <r>
      <rPr>
        <b/>
        <sz val="11"/>
        <color theme="1"/>
        <rFont val="Calibri"/>
        <charset val="134"/>
        <scheme val="minor"/>
      </rPr>
      <t>7.</t>
    </r>
    <r>
      <rPr>
        <sz val="11"/>
        <color theme="1"/>
        <rFont val="Calibri"/>
        <charset val="134"/>
        <scheme val="minor"/>
      </rPr>
      <t xml:space="preserve"> Extract the </t>
    </r>
    <r>
      <rPr>
        <b/>
        <sz val="11"/>
        <color theme="1"/>
        <rFont val="Calibri"/>
        <charset val="134"/>
        <scheme val="minor"/>
      </rPr>
      <t>first 3 characters</t>
    </r>
    <r>
      <rPr>
        <sz val="11"/>
        <color theme="1"/>
        <rFont val="Calibri"/>
        <charset val="134"/>
        <scheme val="minor"/>
      </rPr>
      <t xml:space="preserve"> from each Employee Name.</t>
    </r>
  </si>
  <si>
    <r>
      <rPr>
        <b/>
        <sz val="11"/>
        <color theme="1"/>
        <rFont val="Calibri"/>
        <charset val="134"/>
        <scheme val="minor"/>
      </rPr>
      <t>8.</t>
    </r>
    <r>
      <rPr>
        <sz val="11"/>
        <color theme="1"/>
        <rFont val="Calibri"/>
        <charset val="134"/>
        <scheme val="minor"/>
      </rPr>
      <t xml:space="preserve"> Extract the </t>
    </r>
    <r>
      <rPr>
        <b/>
        <sz val="11"/>
        <color theme="1"/>
        <rFont val="Calibri"/>
        <charset val="134"/>
        <scheme val="minor"/>
      </rPr>
      <t>first 2 characters</t>
    </r>
    <r>
      <rPr>
        <sz val="11"/>
        <color theme="1"/>
        <rFont val="Calibri"/>
        <charset val="134"/>
        <scheme val="minor"/>
      </rPr>
      <t xml:space="preserve"> from the Employee Code.</t>
    </r>
  </si>
  <si>
    <r>
      <rPr>
        <b/>
        <sz val="11"/>
        <color theme="1"/>
        <rFont val="Calibri"/>
        <charset val="134"/>
        <scheme val="minor"/>
      </rPr>
      <t>9.</t>
    </r>
    <r>
      <rPr>
        <sz val="11"/>
        <color theme="1"/>
        <rFont val="Calibri"/>
        <charset val="134"/>
        <scheme val="minor"/>
      </rPr>
      <t xml:space="preserve"> Extract the </t>
    </r>
    <r>
      <rPr>
        <b/>
        <sz val="11"/>
        <color theme="1"/>
        <rFont val="Calibri"/>
        <charset val="134"/>
        <scheme val="minor"/>
      </rPr>
      <t>first 2 characters</t>
    </r>
    <r>
      <rPr>
        <sz val="11"/>
        <color theme="1"/>
        <rFont val="Calibri"/>
        <charset val="134"/>
        <scheme val="minor"/>
      </rPr>
      <t xml:space="preserve"> from each Email ID.</t>
    </r>
  </si>
  <si>
    <t>MID</t>
  </si>
  <si>
    <r>
      <rPr>
        <b/>
        <sz val="11"/>
        <color theme="1"/>
        <rFont val="Calibri"/>
        <charset val="134"/>
        <scheme val="minor"/>
      </rPr>
      <t>10.</t>
    </r>
    <r>
      <rPr>
        <sz val="11"/>
        <color theme="1"/>
        <rFont val="Calibri"/>
        <charset val="134"/>
        <scheme val="minor"/>
      </rPr>
      <t xml:space="preserve"> Extract the </t>
    </r>
    <r>
      <rPr>
        <b/>
        <sz val="11"/>
        <color theme="1"/>
        <rFont val="Calibri"/>
        <charset val="134"/>
        <scheme val="minor"/>
      </rPr>
      <t>employee number</t>
    </r>
    <r>
      <rPr>
        <sz val="11"/>
        <color theme="1"/>
        <rFont val="Calibri"/>
        <charset val="134"/>
        <scheme val="minor"/>
      </rPr>
      <t xml:space="preserve"> from the Employee Code.</t>
    </r>
  </si>
  <si>
    <t>Example:</t>
  </si>
  <si>
    <r>
      <rPr>
        <sz val="10"/>
        <color theme="1"/>
        <rFont val="Arial Unicode MS"/>
        <charset val="134"/>
      </rPr>
      <t>IT-2026-001</t>
    </r>
    <r>
      <rPr>
        <sz val="11"/>
        <color theme="1"/>
        <rFont val="Calibri"/>
        <charset val="134"/>
        <scheme val="minor"/>
      </rPr>
      <t xml:space="preserve"> → </t>
    </r>
    <r>
      <rPr>
        <sz val="10"/>
        <color theme="1"/>
        <rFont val="Arial Unicode MS"/>
        <charset val="134"/>
      </rPr>
      <t>2026</t>
    </r>
  </si>
  <si>
    <r>
      <rPr>
        <b/>
        <sz val="11"/>
        <color theme="1"/>
        <rFont val="Calibri"/>
        <charset val="134"/>
        <scheme val="minor"/>
      </rPr>
      <t>11.</t>
    </r>
    <r>
      <rPr>
        <sz val="11"/>
        <color theme="1"/>
        <rFont val="Calibri"/>
        <charset val="134"/>
        <scheme val="minor"/>
      </rPr>
      <t xml:space="preserve"> Extract the </t>
    </r>
    <r>
      <rPr>
        <b/>
        <sz val="11"/>
        <color theme="1"/>
        <rFont val="Calibri"/>
        <charset val="134"/>
        <scheme val="minor"/>
      </rPr>
      <t>year</t>
    </r>
    <r>
      <rPr>
        <sz val="11"/>
        <color theme="1"/>
        <rFont val="Calibri"/>
        <charset val="134"/>
        <scheme val="minor"/>
      </rPr>
      <t xml:space="preserve"> from every Employee Code.</t>
    </r>
  </si>
  <si>
    <r>
      <rPr>
        <b/>
        <sz val="11"/>
        <color theme="1"/>
        <rFont val="Calibri"/>
        <charset val="134"/>
        <scheme val="minor"/>
      </rPr>
      <t>12.</t>
    </r>
    <r>
      <rPr>
        <sz val="11"/>
        <color theme="1"/>
        <rFont val="Calibri"/>
        <charset val="134"/>
        <scheme val="minor"/>
      </rPr>
      <t xml:space="preserve"> Extract the </t>
    </r>
    <r>
      <rPr>
        <b/>
        <sz val="11"/>
        <color theme="1"/>
        <rFont val="Calibri"/>
        <charset val="134"/>
        <scheme val="minor"/>
      </rPr>
      <t>department code</t>
    </r>
    <r>
      <rPr>
        <sz val="11"/>
        <color theme="1"/>
        <rFont val="Calibri"/>
        <charset val="134"/>
        <scheme val="minor"/>
      </rPr>
      <t xml:space="preserve"> from the Employee Code.</t>
    </r>
  </si>
  <si>
    <r>
      <rPr>
        <sz val="10"/>
        <color theme="1"/>
        <rFont val="Arial Unicode MS"/>
        <charset val="134"/>
      </rPr>
      <t>HR-2026-003</t>
    </r>
    <r>
      <rPr>
        <sz val="11"/>
        <color theme="1"/>
        <rFont val="Calibri"/>
        <charset val="134"/>
        <scheme val="minor"/>
      </rPr>
      <t xml:space="preserve"> → </t>
    </r>
    <r>
      <rPr>
        <sz val="10"/>
        <color theme="1"/>
        <rFont val="Arial Unicode MS"/>
        <charset val="134"/>
      </rPr>
      <t>HR</t>
    </r>
  </si>
  <si>
    <t>RIGHT</t>
  </si>
  <si>
    <r>
      <rPr>
        <b/>
        <sz val="11"/>
        <color theme="1"/>
        <rFont val="Calibri"/>
        <charset val="134"/>
        <scheme val="minor"/>
      </rPr>
      <t>13.</t>
    </r>
    <r>
      <rPr>
        <sz val="11"/>
        <color theme="1"/>
        <rFont val="Calibri"/>
        <charset val="134"/>
        <scheme val="minor"/>
      </rPr>
      <t xml:space="preserve"> Extract the </t>
    </r>
    <r>
      <rPr>
        <b/>
        <sz val="11"/>
        <color theme="1"/>
        <rFont val="Calibri"/>
        <charset val="134"/>
        <scheme val="minor"/>
      </rPr>
      <t>last 3 characters</t>
    </r>
    <r>
      <rPr>
        <sz val="11"/>
        <color theme="1"/>
        <rFont val="Calibri"/>
        <charset val="134"/>
        <scheme val="minor"/>
      </rPr>
      <t xml:space="preserve"> from the Employee Code.</t>
    </r>
  </si>
  <si>
    <r>
      <rPr>
        <sz val="10"/>
        <color theme="1"/>
        <rFont val="Arial Unicode MS"/>
        <charset val="134"/>
      </rPr>
      <t>IT-2026-001</t>
    </r>
    <r>
      <rPr>
        <sz val="11"/>
        <color theme="1"/>
        <rFont val="Calibri"/>
        <charset val="134"/>
        <scheme val="minor"/>
      </rPr>
      <t xml:space="preserve"> → </t>
    </r>
    <r>
      <rPr>
        <sz val="10"/>
        <color theme="1"/>
        <rFont val="Arial Unicode MS"/>
        <charset val="134"/>
      </rPr>
      <t>001</t>
    </r>
  </si>
  <si>
    <r>
      <rPr>
        <b/>
        <sz val="11"/>
        <color theme="1"/>
        <rFont val="Calibri"/>
        <charset val="134"/>
        <scheme val="minor"/>
      </rPr>
      <t>14.</t>
    </r>
    <r>
      <rPr>
        <sz val="11"/>
        <color theme="1"/>
        <rFont val="Calibri"/>
        <charset val="134"/>
        <scheme val="minor"/>
      </rPr>
      <t xml:space="preserve"> Extract the </t>
    </r>
    <r>
      <rPr>
        <b/>
        <sz val="11"/>
        <color theme="1"/>
        <rFont val="Calibri"/>
        <charset val="134"/>
        <scheme val="minor"/>
      </rPr>
      <t>last 4 digits</t>
    </r>
    <r>
      <rPr>
        <sz val="11"/>
        <color theme="1"/>
        <rFont val="Calibri"/>
        <charset val="134"/>
        <scheme val="minor"/>
      </rPr>
      <t xml:space="preserve"> from the Phone Number.</t>
    </r>
  </si>
  <si>
    <r>
      <rPr>
        <b/>
        <sz val="11"/>
        <color theme="1"/>
        <rFont val="Calibri"/>
        <charset val="134"/>
        <scheme val="minor"/>
      </rPr>
      <t>15.</t>
    </r>
    <r>
      <rPr>
        <sz val="11"/>
        <color theme="1"/>
        <rFont val="Calibri"/>
        <charset val="134"/>
        <scheme val="minor"/>
      </rPr>
      <t xml:space="preserve"> Extract the </t>
    </r>
    <r>
      <rPr>
        <b/>
        <sz val="11"/>
        <color theme="1"/>
        <rFont val="Calibri"/>
        <charset val="134"/>
        <scheme val="minor"/>
      </rPr>
      <t>last 3 characters</t>
    </r>
    <r>
      <rPr>
        <sz val="11"/>
        <color theme="1"/>
        <rFont val="Calibri"/>
        <charset val="134"/>
        <scheme val="minor"/>
      </rPr>
      <t xml:space="preserve"> from each Employee Name.</t>
    </r>
  </si>
  <si>
    <t>TRIM</t>
  </si>
  <si>
    <r>
      <rPr>
        <b/>
        <sz val="11"/>
        <color theme="1"/>
        <rFont val="Calibri"/>
        <charset val="134"/>
        <scheme val="minor"/>
      </rPr>
      <t>16.</t>
    </r>
    <r>
      <rPr>
        <sz val="11"/>
        <color theme="1"/>
        <rFont val="Calibri"/>
        <charset val="134"/>
        <scheme val="minor"/>
      </rPr>
      <t xml:space="preserve"> Assume some employee names contain unnecessary spaces. Use </t>
    </r>
    <r>
      <rPr>
        <sz val="10"/>
        <color theme="1"/>
        <rFont val="Arial Unicode MS"/>
        <charset val="134"/>
      </rPr>
      <t>TRIM</t>
    </r>
    <r>
      <rPr>
        <sz val="11"/>
        <color theme="1"/>
        <rFont val="Calibri"/>
        <charset val="134"/>
        <scheme val="minor"/>
      </rPr>
      <t xml:space="preserve"> to remove extra spaces.</t>
    </r>
  </si>
  <si>
    <r>
      <rPr>
        <sz val="10"/>
        <color theme="1"/>
        <rFont val="Arial Unicode MS"/>
        <charset val="134"/>
      </rPr>
      <t>" anu kumari "</t>
    </r>
    <r>
      <rPr>
        <sz val="11"/>
        <color theme="1"/>
        <rFont val="Calibri"/>
        <charset val="134"/>
        <scheme val="minor"/>
      </rPr>
      <t xml:space="preserve"> → </t>
    </r>
    <r>
      <rPr>
        <sz val="10"/>
        <color theme="1"/>
        <rFont val="Arial Unicode MS"/>
        <charset val="134"/>
      </rPr>
      <t>"anu kumari"</t>
    </r>
  </si>
  <si>
    <r>
      <rPr>
        <b/>
        <sz val="11"/>
        <color theme="1"/>
        <rFont val="Calibri"/>
        <charset val="134"/>
        <scheme val="minor"/>
      </rPr>
      <t>17.</t>
    </r>
    <r>
      <rPr>
        <sz val="11"/>
        <color theme="1"/>
        <rFont val="Calibri"/>
        <charset val="134"/>
        <scheme val="minor"/>
      </rPr>
      <t xml:space="preserve"> Use </t>
    </r>
    <r>
      <rPr>
        <sz val="10"/>
        <color theme="1"/>
        <rFont val="Arial Unicode MS"/>
        <charset val="134"/>
      </rPr>
      <t>TRIM</t>
    </r>
    <r>
      <rPr>
        <sz val="11"/>
        <color theme="1"/>
        <rFont val="Calibri"/>
        <charset val="134"/>
        <scheme val="minor"/>
      </rPr>
      <t xml:space="preserve"> to clean the Department names.</t>
    </r>
  </si>
  <si>
    <t>LEN</t>
  </si>
  <si>
    <r>
      <rPr>
        <b/>
        <sz val="11"/>
        <color theme="1"/>
        <rFont val="Calibri"/>
        <charset val="134"/>
        <scheme val="minor"/>
      </rPr>
      <t>18.</t>
    </r>
    <r>
      <rPr>
        <sz val="11"/>
        <color theme="1"/>
        <rFont val="Calibri"/>
        <charset val="134"/>
        <scheme val="minor"/>
      </rPr>
      <t xml:space="preserve"> Find the </t>
    </r>
    <r>
      <rPr>
        <b/>
        <sz val="11"/>
        <color theme="1"/>
        <rFont val="Calibri"/>
        <charset val="134"/>
        <scheme val="minor"/>
      </rPr>
      <t>number of characters</t>
    </r>
    <r>
      <rPr>
        <sz val="11"/>
        <color theme="1"/>
        <rFont val="Calibri"/>
        <charset val="134"/>
        <scheme val="minor"/>
      </rPr>
      <t xml:space="preserve"> in each Employee Name.</t>
    </r>
  </si>
  <si>
    <r>
      <rPr>
        <b/>
        <sz val="11"/>
        <color theme="1"/>
        <rFont val="Calibri"/>
        <charset val="134"/>
        <scheme val="minor"/>
      </rPr>
      <t>19.</t>
    </r>
    <r>
      <rPr>
        <sz val="11"/>
        <color theme="1"/>
        <rFont val="Calibri"/>
        <charset val="134"/>
        <scheme val="minor"/>
      </rPr>
      <t xml:space="preserve"> Find the </t>
    </r>
    <r>
      <rPr>
        <b/>
        <sz val="11"/>
        <color theme="1"/>
        <rFont val="Calibri"/>
        <charset val="134"/>
        <scheme val="minor"/>
      </rPr>
      <t>number of characters</t>
    </r>
    <r>
      <rPr>
        <sz val="11"/>
        <color theme="1"/>
        <rFont val="Calibri"/>
        <charset val="134"/>
        <scheme val="minor"/>
      </rPr>
      <t xml:space="preserve"> in each Email ID.</t>
    </r>
  </si>
  <si>
    <r>
      <rPr>
        <b/>
        <sz val="11"/>
        <color theme="1"/>
        <rFont val="Calibri"/>
        <charset val="134"/>
        <scheme val="minor"/>
      </rPr>
      <t>20.</t>
    </r>
    <r>
      <rPr>
        <sz val="11"/>
        <color theme="1"/>
        <rFont val="Calibri"/>
        <charset val="134"/>
        <scheme val="minor"/>
      </rPr>
      <t xml:space="preserve"> Find the </t>
    </r>
    <r>
      <rPr>
        <b/>
        <sz val="11"/>
        <color theme="1"/>
        <rFont val="Calibri"/>
        <charset val="134"/>
        <scheme val="minor"/>
      </rPr>
      <t>number of characters</t>
    </r>
    <r>
      <rPr>
        <sz val="11"/>
        <color theme="1"/>
        <rFont val="Calibri"/>
        <charset val="134"/>
        <scheme val="minor"/>
      </rPr>
      <t xml:space="preserve"> in each Employee Code.</t>
    </r>
  </si>
  <si>
    <t>EXACT</t>
  </si>
  <si>
    <r>
      <rPr>
        <b/>
        <sz val="11"/>
        <color theme="1"/>
        <rFont val="Calibri"/>
        <charset val="134"/>
        <scheme val="minor"/>
      </rPr>
      <t>21.</t>
    </r>
    <r>
      <rPr>
        <sz val="11"/>
        <color theme="1"/>
        <rFont val="Calibri"/>
        <charset val="134"/>
        <scheme val="minor"/>
      </rPr>
      <t xml:space="preserve"> Compare the Employee Name in row 2 with another cell containing </t>
    </r>
    <r>
      <rPr>
        <sz val="10"/>
        <color theme="1"/>
        <rFont val="Arial Unicode MS"/>
        <charset val="134"/>
      </rPr>
      <t>anu kumari</t>
    </r>
    <r>
      <rPr>
        <sz val="11"/>
        <color theme="1"/>
        <rFont val="Calibri"/>
        <charset val="134"/>
        <scheme val="minor"/>
      </rPr>
      <t xml:space="preserve">. Check whether they are </t>
    </r>
    <r>
      <rPr>
        <b/>
        <sz val="11"/>
        <color theme="1"/>
        <rFont val="Calibri"/>
        <charset val="134"/>
        <scheme val="minor"/>
      </rPr>
      <t>exactly the same</t>
    </r>
    <r>
      <rPr>
        <sz val="11"/>
        <color theme="1"/>
        <rFont val="Calibri"/>
        <charset val="134"/>
        <scheme val="minor"/>
      </rPr>
      <t>.</t>
    </r>
  </si>
  <si>
    <r>
      <rPr>
        <b/>
        <sz val="11"/>
        <color theme="1"/>
        <rFont val="Calibri"/>
        <charset val="134"/>
        <scheme val="minor"/>
      </rPr>
      <t>22.</t>
    </r>
    <r>
      <rPr>
        <sz val="11"/>
        <color theme="1"/>
        <rFont val="Calibri"/>
        <charset val="134"/>
        <scheme val="minor"/>
      </rPr>
      <t xml:space="preserve"> Compare two Employee Names and determine whether they are exactly identical, including </t>
    </r>
    <r>
      <rPr>
        <b/>
        <sz val="11"/>
        <color theme="1"/>
        <rFont val="Calibri"/>
        <charset val="134"/>
        <scheme val="minor"/>
      </rPr>
      <t>uppercase/lowercase differences</t>
    </r>
    <r>
      <rPr>
        <sz val="11"/>
        <color theme="1"/>
        <rFont val="Calibri"/>
        <charset val="134"/>
        <scheme val="minor"/>
      </rPr>
      <t>.</t>
    </r>
  </si>
  <si>
    <t>CONCATENATE</t>
  </si>
  <si>
    <r>
      <rPr>
        <b/>
        <sz val="11"/>
        <color theme="1"/>
        <rFont val="Calibri"/>
        <charset val="134"/>
        <scheme val="minor"/>
      </rPr>
      <t>23.</t>
    </r>
    <r>
      <rPr>
        <sz val="11"/>
        <color theme="1"/>
        <rFont val="Calibri"/>
        <charset val="134"/>
        <scheme val="minor"/>
      </rPr>
      <t xml:space="preserve"> Combine </t>
    </r>
    <r>
      <rPr>
        <b/>
        <sz val="11"/>
        <color theme="1"/>
        <rFont val="Calibri"/>
        <charset val="134"/>
        <scheme val="minor"/>
      </rPr>
      <t>Employee ID + Employee Name</t>
    </r>
    <r>
      <rPr>
        <sz val="11"/>
        <color theme="1"/>
        <rFont val="Calibri"/>
        <charset val="134"/>
        <scheme val="minor"/>
      </rPr>
      <t>.</t>
    </r>
  </si>
  <si>
    <t>E001 - anu kumari</t>
  </si>
  <si>
    <r>
      <rPr>
        <b/>
        <sz val="11"/>
        <color theme="1"/>
        <rFont val="Calibri"/>
        <charset val="134"/>
        <scheme val="minor"/>
      </rPr>
      <t>24.</t>
    </r>
    <r>
      <rPr>
        <sz val="11"/>
        <color theme="1"/>
        <rFont val="Calibri"/>
        <charset val="134"/>
        <scheme val="minor"/>
      </rPr>
      <t xml:space="preserve"> Combine </t>
    </r>
    <r>
      <rPr>
        <b/>
        <sz val="11"/>
        <color theme="1"/>
        <rFont val="Calibri"/>
        <charset val="134"/>
        <scheme val="minor"/>
      </rPr>
      <t>Employee Name + Department</t>
    </r>
    <r>
      <rPr>
        <sz val="11"/>
        <color theme="1"/>
        <rFont val="Calibri"/>
        <charset val="134"/>
        <scheme val="minor"/>
      </rPr>
      <t>.</t>
    </r>
  </si>
  <si>
    <t>anu kumari - Information Technology</t>
  </si>
  <si>
    <r>
      <rPr>
        <b/>
        <sz val="11"/>
        <color theme="1"/>
        <rFont val="Calibri"/>
        <charset val="134"/>
        <scheme val="minor"/>
      </rPr>
      <t>25.</t>
    </r>
    <r>
      <rPr>
        <sz val="11"/>
        <color theme="1"/>
        <rFont val="Calibri"/>
        <charset val="134"/>
        <scheme val="minor"/>
      </rPr>
      <t xml:space="preserve"> Create a sentence using Employee Name and City.</t>
    </r>
  </si>
  <si>
    <t>anu kumari works in Thiruvananthapuram</t>
  </si>
  <si>
    <t>FIND</t>
  </si>
  <si>
    <r>
      <rPr>
        <b/>
        <sz val="11"/>
        <color theme="1"/>
        <rFont val="Calibri"/>
        <charset val="134"/>
        <scheme val="minor"/>
      </rPr>
      <t>26.</t>
    </r>
    <r>
      <rPr>
        <sz val="11"/>
        <color theme="1"/>
        <rFont val="Calibri"/>
        <charset val="134"/>
        <scheme val="minor"/>
      </rPr>
      <t xml:space="preserve"> Find the position of </t>
    </r>
    <r>
      <rPr>
        <sz val="10"/>
        <color theme="1"/>
        <rFont val="Arial Unicode MS"/>
        <charset val="134"/>
      </rPr>
      <t>@</t>
    </r>
    <r>
      <rPr>
        <sz val="11"/>
        <color theme="1"/>
        <rFont val="Calibri"/>
        <charset val="134"/>
        <scheme val="minor"/>
      </rPr>
      <t xml:space="preserve"> in every Email ID.</t>
    </r>
  </si>
  <si>
    <r>
      <rPr>
        <b/>
        <sz val="11"/>
        <color theme="1"/>
        <rFont val="Calibri"/>
        <charset val="134"/>
        <scheme val="minor"/>
      </rPr>
      <t>27.</t>
    </r>
    <r>
      <rPr>
        <sz val="11"/>
        <color theme="1"/>
        <rFont val="Calibri"/>
        <charset val="134"/>
        <scheme val="minor"/>
      </rPr>
      <t xml:space="preserve"> Find the position of </t>
    </r>
    <r>
      <rPr>
        <sz val="10"/>
        <color theme="1"/>
        <rFont val="Arial Unicode MS"/>
        <charset val="134"/>
      </rPr>
      <t>-</t>
    </r>
    <r>
      <rPr>
        <sz val="11"/>
        <color theme="1"/>
        <rFont val="Calibri"/>
        <charset val="134"/>
        <scheme val="minor"/>
      </rPr>
      <t xml:space="preserve"> in every Employee Code.</t>
    </r>
  </si>
  <si>
    <r>
      <rPr>
        <b/>
        <sz val="11"/>
        <color theme="1"/>
        <rFont val="Calibri"/>
        <charset val="134"/>
        <scheme val="minor"/>
      </rPr>
      <t>28.</t>
    </r>
    <r>
      <rPr>
        <sz val="11"/>
        <color theme="1"/>
        <rFont val="Calibri"/>
        <charset val="134"/>
        <scheme val="minor"/>
      </rPr>
      <t xml:space="preserve"> Find the position of the </t>
    </r>
    <r>
      <rPr>
        <b/>
        <sz val="11"/>
        <color theme="1"/>
        <rFont val="Calibri"/>
        <charset val="134"/>
        <scheme val="minor"/>
      </rPr>
      <t>first space</t>
    </r>
    <r>
      <rPr>
        <sz val="11"/>
        <color theme="1"/>
        <rFont val="Calibri"/>
        <charset val="134"/>
        <scheme val="minor"/>
      </rPr>
      <t xml:space="preserve"> in each Employee Name.</t>
    </r>
  </si>
  <si>
    <t>SUBSTITUTE</t>
  </si>
  <si>
    <r>
      <rPr>
        <b/>
        <sz val="11"/>
        <color theme="1"/>
        <rFont val="Calibri"/>
        <charset val="134"/>
        <scheme val="minor"/>
      </rPr>
      <t>29.</t>
    </r>
    <r>
      <rPr>
        <sz val="11"/>
        <color theme="1"/>
        <rFont val="Calibri"/>
        <charset val="134"/>
        <scheme val="minor"/>
      </rPr>
      <t xml:space="preserve"> Replace </t>
    </r>
    <r>
      <rPr>
        <sz val="10"/>
        <color theme="1"/>
        <rFont val="Arial Unicode MS"/>
        <charset val="134"/>
      </rPr>
      <t>gmail.com</t>
    </r>
    <r>
      <rPr>
        <sz val="11"/>
        <color theme="1"/>
        <rFont val="Calibri"/>
        <charset val="134"/>
        <scheme val="minor"/>
      </rPr>
      <t xml:space="preserve"> with </t>
    </r>
    <r>
      <rPr>
        <sz val="10"/>
        <color theme="1"/>
        <rFont val="Arial Unicode MS"/>
        <charset val="134"/>
      </rPr>
      <t>company.com</t>
    </r>
    <r>
      <rPr>
        <sz val="11"/>
        <color theme="1"/>
        <rFont val="Calibri"/>
        <charset val="134"/>
        <scheme val="minor"/>
      </rPr>
      <t xml:space="preserve"> in all Email IDs.</t>
    </r>
  </si>
  <si>
    <r>
      <rPr>
        <sz val="10"/>
        <color theme="1"/>
        <rFont val="Arial Unicode MS"/>
        <charset val="134"/>
      </rPr>
      <t>anu.kumari@gmail.com</t>
    </r>
    <r>
      <rPr>
        <sz val="11"/>
        <color theme="1"/>
        <rFont val="Calibri"/>
        <charset val="134"/>
        <scheme val="minor"/>
      </rPr>
      <t xml:space="preserve"> → </t>
    </r>
    <r>
      <rPr>
        <sz val="10"/>
        <color theme="1"/>
        <rFont val="Arial Unicode MS"/>
        <charset val="134"/>
      </rPr>
      <t>anu.kumari@company.com</t>
    </r>
  </si>
  <si>
    <r>
      <rPr>
        <b/>
        <sz val="11"/>
        <color theme="1"/>
        <rFont val="Calibri"/>
        <charset val="134"/>
        <scheme val="minor"/>
      </rPr>
      <t>30.</t>
    </r>
    <r>
      <rPr>
        <sz val="11"/>
        <color theme="1"/>
        <rFont val="Calibri"/>
        <charset val="134"/>
        <scheme val="minor"/>
      </rPr>
      <t xml:space="preserve"> Replace the hyphen </t>
    </r>
    <r>
      <rPr>
        <sz val="10"/>
        <color theme="1"/>
        <rFont val="Arial Unicode MS"/>
        <charset val="134"/>
      </rPr>
      <t>-</t>
    </r>
    <r>
      <rPr>
        <sz val="11"/>
        <color theme="1"/>
        <rFont val="Calibri"/>
        <charset val="134"/>
        <scheme val="minor"/>
      </rPr>
      <t xml:space="preserve"> in Employee Codes with </t>
    </r>
    <r>
      <rPr>
        <sz val="10"/>
        <color theme="1"/>
        <rFont val="Arial Unicode MS"/>
        <charset val="134"/>
      </rPr>
      <t>/</t>
    </r>
    <r>
      <rPr>
        <sz val="11"/>
        <color theme="1"/>
        <rFont val="Calibri"/>
        <charset val="134"/>
        <scheme val="minor"/>
      </rPr>
      <t>.</t>
    </r>
  </si>
  <si>
    <r>
      <rPr>
        <sz val="10"/>
        <color theme="1"/>
        <rFont val="Arial Unicode MS"/>
        <charset val="134"/>
      </rPr>
      <t>IT-2026-001</t>
    </r>
    <r>
      <rPr>
        <sz val="11"/>
        <color theme="1"/>
        <rFont val="Calibri"/>
        <charset val="134"/>
        <scheme val="minor"/>
      </rPr>
      <t xml:space="preserve"> → </t>
    </r>
    <r>
      <rPr>
        <sz val="10"/>
        <color theme="1"/>
        <rFont val="Arial Unicode MS"/>
        <charset val="134"/>
      </rPr>
      <t>IT/2026/001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</si>
</sst>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3.5"/>
      <color theme="1"/>
      <name val="Calibri"/>
      <charset val="134"/>
      <scheme val="minor"/>
    </font>
    <font>
      <sz val="10"/>
      <color theme="1"/>
      <name val="Arial Unicode MS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6" applyAlignment="1">
      <alignment vertical="center" wrapText="1"/>
    </xf>
    <xf numFmtId="0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fathima.ali@gmail.com" TargetMode="External"/><Relationship Id="rId8" Type="http://schemas.openxmlformats.org/officeDocument/2006/relationships/hyperlink" Target="mailto:nikhil.varma@gmail.com" TargetMode="External"/><Relationship Id="rId7" Type="http://schemas.openxmlformats.org/officeDocument/2006/relationships/hyperlink" Target="mailto:diya.roy@gmail.com" TargetMode="External"/><Relationship Id="rId6" Type="http://schemas.openxmlformats.org/officeDocument/2006/relationships/hyperlink" Target="mailto:vishnu.das@gmail.com" TargetMode="External"/><Relationship Id="rId5" Type="http://schemas.openxmlformats.org/officeDocument/2006/relationships/hyperlink" Target="mailto:sneha.jose@gmail.com" TargetMode="External"/><Relationship Id="rId4" Type="http://schemas.openxmlformats.org/officeDocument/2006/relationships/hyperlink" Target="mailto:arun.kumar@gmail.com" TargetMode="External"/><Relationship Id="rId3" Type="http://schemas.openxmlformats.org/officeDocument/2006/relationships/hyperlink" Target="mailto:meera.nair@gmail.com" TargetMode="External"/><Relationship Id="rId2" Type="http://schemas.openxmlformats.org/officeDocument/2006/relationships/hyperlink" Target="mailto:rahul.menon@gmail.com" TargetMode="External"/><Relationship Id="rId15" Type="http://schemas.openxmlformats.org/officeDocument/2006/relationships/hyperlink" Target="mailto:riya.paul@gmail.com" TargetMode="External"/><Relationship Id="rId14" Type="http://schemas.openxmlformats.org/officeDocument/2006/relationships/hyperlink" Target="mailto:manu.mohan@gmail.com" TargetMode="External"/><Relationship Id="rId13" Type="http://schemas.openxmlformats.org/officeDocument/2006/relationships/hyperlink" Target="mailto:neha.krishnan@gmail.com" TargetMode="External"/><Relationship Id="rId12" Type="http://schemas.openxmlformats.org/officeDocument/2006/relationships/hyperlink" Target="mailto:suresh.babu@gmail.com" TargetMode="External"/><Relationship Id="rId11" Type="http://schemas.openxmlformats.org/officeDocument/2006/relationships/hyperlink" Target="mailto:lakshmi.menon@gmail.com" TargetMode="External"/><Relationship Id="rId10" Type="http://schemas.openxmlformats.org/officeDocument/2006/relationships/hyperlink" Target="mailto:akhil.raj@gmail.com" TargetMode="External"/><Relationship Id="rId1" Type="http://schemas.openxmlformats.org/officeDocument/2006/relationships/hyperlink" Target="mailto:anu.kuma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7"/>
  <sheetViews>
    <sheetView tabSelected="1" topLeftCell="A117" workbookViewId="0">
      <selection activeCell="T2" sqref="T2"/>
    </sheetView>
  </sheetViews>
  <sheetFormatPr defaultColWidth="9" defaultRowHeight="14.4"/>
  <cols>
    <col min="7" max="7" width="11.7777777777778"/>
    <col min="9" max="9" width="14.5555555555556" customWidth="1"/>
    <col min="17" max="17" width="16.7777777777778" customWidth="1"/>
    <col min="19" max="19" width="27.1111111111111" customWidth="1"/>
  </cols>
  <sheetData>
    <row r="1" ht="28.8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ht="57.6" spans="1:20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3" t="s">
        <v>24</v>
      </c>
      <c r="G2" s="4">
        <v>9876543210</v>
      </c>
      <c r="H2" s="2" t="s">
        <v>25</v>
      </c>
      <c r="I2" t="str">
        <f>UPPER(B2)</f>
        <v>ANU KUMARI</v>
      </c>
      <c r="J2" t="str">
        <f>LOWER(B2)</f>
        <v>anu kumari</v>
      </c>
      <c r="K2" t="str">
        <f>PROPER(B2)</f>
        <v>Anu Kumari</v>
      </c>
      <c r="L2" t="str">
        <f>LEFT(B2,3)</f>
        <v>anu</v>
      </c>
      <c r="M2" t="str">
        <f>MID(E2,9,3)</f>
        <v>001</v>
      </c>
      <c r="N2" t="str">
        <f>RIGHT(E2,3)</f>
        <v>001</v>
      </c>
      <c r="O2" t="str">
        <f>TRIM(B2)</f>
        <v>anu kumari</v>
      </c>
      <c r="P2">
        <f>LEN(B2)</f>
        <v>10</v>
      </c>
      <c r="Q2" t="str">
        <f>CONCATENATE(A2,B2)</f>
        <v>E001anu kumari</v>
      </c>
      <c r="R2">
        <f>FIND("@",F2)</f>
        <v>11</v>
      </c>
      <c r="S2" t="str">
        <f>SUBSTITUTE(F2,"gmail.com","company.com")</f>
        <v>anu.kumari@company.com</v>
      </c>
      <c r="T2" t="b">
        <f>EXACT(B2,"anu kumari")</f>
        <v>1</v>
      </c>
    </row>
    <row r="3" ht="43.2" spans="1:20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3" t="s">
        <v>31</v>
      </c>
      <c r="G3" s="2">
        <v>9876543211</v>
      </c>
      <c r="H3" s="2" t="s">
        <v>32</v>
      </c>
      <c r="I3" t="str">
        <f t="shared" ref="I3:I13" si="0">UPPER(B3)</f>
        <v>RAHUL MENON</v>
      </c>
      <c r="J3" t="str">
        <f t="shared" ref="J3:J45" si="1">LOWER(B3)</f>
        <v>rahul menon</v>
      </c>
      <c r="K3" t="str">
        <f t="shared" ref="K3:K8" si="2">PROPER(B3)</f>
        <v>Rahul Menon</v>
      </c>
      <c r="L3" t="str">
        <f t="shared" ref="L3:L8" si="3">LEFT(B3,3)</f>
        <v>RAH</v>
      </c>
      <c r="M3" t="str">
        <f t="shared" ref="M3:M8" si="4">MID(E3,9,3)</f>
        <v>002</v>
      </c>
      <c r="P3">
        <f>LEN(B3)</f>
        <v>11</v>
      </c>
      <c r="S3" t="str">
        <f>SUBSTITUTE(F3,"gmail.com","company.com")</f>
        <v>rahul.menon@company.com</v>
      </c>
    </row>
    <row r="4" ht="43.2" spans="1:20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3" t="s">
        <v>38</v>
      </c>
      <c r="G4" s="2">
        <v>9876543212</v>
      </c>
      <c r="H4" s="2" t="s">
        <v>39</v>
      </c>
      <c r="I4" t="str">
        <f t="shared" si="0"/>
        <v>MEERA NAIR</v>
      </c>
      <c r="J4" t="str">
        <f t="shared" si="1"/>
        <v>meera nair</v>
      </c>
      <c r="K4" t="str">
        <f t="shared" si="2"/>
        <v>Meera Nair</v>
      </c>
      <c r="L4" t="str">
        <f t="shared" si="3"/>
        <v>mee</v>
      </c>
      <c r="M4" t="str">
        <f t="shared" si="4"/>
        <v>003</v>
      </c>
      <c r="P4">
        <f>LEN(B4)</f>
        <v>10</v>
      </c>
      <c r="S4" t="str">
        <f>SUBSTITUTE(F4,"gmail.com","company.com")</f>
        <v>meera.nair@company.com</v>
      </c>
    </row>
    <row r="5" ht="57.6" spans="1:20">
      <c r="A5" s="2" t="s">
        <v>40</v>
      </c>
      <c r="B5" s="2" t="s">
        <v>41</v>
      </c>
      <c r="C5" s="2" t="s">
        <v>21</v>
      </c>
      <c r="D5" s="2" t="s">
        <v>42</v>
      </c>
      <c r="E5" s="2" t="s">
        <v>43</v>
      </c>
      <c r="F5" s="3" t="s">
        <v>44</v>
      </c>
      <c r="G5" s="2">
        <v>9876543213</v>
      </c>
      <c r="H5" s="2" t="s">
        <v>45</v>
      </c>
      <c r="I5" t="str">
        <f t="shared" si="0"/>
        <v>ARUN KUMAR</v>
      </c>
      <c r="J5" t="str">
        <f t="shared" si="1"/>
        <v>arun kumar</v>
      </c>
      <c r="K5" t="str">
        <f t="shared" si="2"/>
        <v>Arun Kumar</v>
      </c>
      <c r="L5" t="str">
        <f t="shared" si="3"/>
        <v>Aru</v>
      </c>
      <c r="M5" t="str">
        <f t="shared" si="4"/>
        <v>004</v>
      </c>
      <c r="P5">
        <f>LEN(B5)</f>
        <v>10</v>
      </c>
      <c r="S5" t="str">
        <f>SUBSTITUTE(F5,"gmail.com","company.com")</f>
        <v>arun.kumar@company.com</v>
      </c>
    </row>
    <row r="6" ht="43.2" spans="1:20">
      <c r="A6" s="2" t="s">
        <v>46</v>
      </c>
      <c r="B6" s="2" t="s">
        <v>47</v>
      </c>
      <c r="C6" s="2" t="s">
        <v>28</v>
      </c>
      <c r="D6" s="2" t="s">
        <v>48</v>
      </c>
      <c r="E6" s="2" t="s">
        <v>49</v>
      </c>
      <c r="F6" s="3" t="s">
        <v>50</v>
      </c>
      <c r="G6" s="2">
        <v>9876543214</v>
      </c>
      <c r="H6" s="2" t="s">
        <v>51</v>
      </c>
      <c r="I6" t="str">
        <f t="shared" si="0"/>
        <v>SNEHA JOSE</v>
      </c>
      <c r="J6" t="str">
        <f t="shared" si="1"/>
        <v>sneha jose</v>
      </c>
      <c r="K6" t="str">
        <f t="shared" si="2"/>
        <v>Sneha Jose</v>
      </c>
      <c r="L6" t="str">
        <f t="shared" si="3"/>
        <v>sne</v>
      </c>
      <c r="M6" t="str">
        <f t="shared" si="4"/>
        <v>005</v>
      </c>
      <c r="P6">
        <f>LEN(B6)</f>
        <v>10</v>
      </c>
      <c r="S6" t="str">
        <f>SUBSTITUTE(F6,"gmail.com","company.com")</f>
        <v>sneha.jose@company.com</v>
      </c>
    </row>
    <row r="7" ht="43.2" spans="1:20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3" t="s">
        <v>57</v>
      </c>
      <c r="G7" s="2">
        <v>9876543215</v>
      </c>
      <c r="H7" s="2" t="s">
        <v>58</v>
      </c>
      <c r="I7" t="str">
        <f t="shared" si="0"/>
        <v>VISHNU DAS</v>
      </c>
      <c r="J7" t="str">
        <f t="shared" si="1"/>
        <v>vishnu das</v>
      </c>
      <c r="K7" t="str">
        <f t="shared" si="2"/>
        <v>Vishnu Das</v>
      </c>
      <c r="L7" t="str">
        <f t="shared" si="3"/>
        <v>VIS</v>
      </c>
      <c r="M7" t="str">
        <f t="shared" si="4"/>
        <v>006</v>
      </c>
      <c r="P7">
        <f>LEN(B7)</f>
        <v>10</v>
      </c>
      <c r="S7" t="str">
        <f>SUBSTITUTE(F7,"gmail.com","company.com")</f>
        <v>vishnu.das@company.com</v>
      </c>
    </row>
    <row r="8" ht="57.6" spans="1:20">
      <c r="A8" s="2" t="s">
        <v>59</v>
      </c>
      <c r="B8" s="2" t="s">
        <v>60</v>
      </c>
      <c r="C8" s="2" t="s">
        <v>21</v>
      </c>
      <c r="D8" s="2" t="s">
        <v>61</v>
      </c>
      <c r="E8" s="2" t="s">
        <v>62</v>
      </c>
      <c r="F8" s="3" t="s">
        <v>63</v>
      </c>
      <c r="G8" s="2">
        <v>9876543216</v>
      </c>
      <c r="H8" s="2" t="s">
        <v>32</v>
      </c>
      <c r="I8" t="str">
        <f t="shared" si="0"/>
        <v>DIYA ROY</v>
      </c>
      <c r="J8" t="str">
        <f t="shared" si="1"/>
        <v>diya roy</v>
      </c>
      <c r="K8" t="str">
        <f t="shared" si="2"/>
        <v>Diya Roy</v>
      </c>
      <c r="L8" t="str">
        <f t="shared" si="3"/>
        <v>diy</v>
      </c>
      <c r="M8" t="str">
        <f t="shared" si="4"/>
        <v>007</v>
      </c>
    </row>
    <row r="9" ht="43.2" spans="1:20">
      <c r="A9" s="2" t="s">
        <v>64</v>
      </c>
      <c r="B9" s="2" t="s">
        <v>65</v>
      </c>
      <c r="C9" s="2" t="s">
        <v>54</v>
      </c>
      <c r="D9" s="2" t="s">
        <v>66</v>
      </c>
      <c r="E9" s="2" t="s">
        <v>67</v>
      </c>
      <c r="F9" s="3" t="s">
        <v>68</v>
      </c>
      <c r="G9" s="2">
        <v>9876543217</v>
      </c>
      <c r="H9" s="2" t="s">
        <v>69</v>
      </c>
      <c r="I9" t="str">
        <f t="shared" si="0"/>
        <v>NIKHIL VARMA</v>
      </c>
      <c r="J9" t="str">
        <f t="shared" si="1"/>
        <v>nikhil varma</v>
      </c>
    </row>
    <row r="10" ht="43.2" spans="1:20">
      <c r="A10" s="2" t="s">
        <v>70</v>
      </c>
      <c r="B10" s="2" t="s">
        <v>71</v>
      </c>
      <c r="C10" s="2" t="s">
        <v>35</v>
      </c>
      <c r="D10" s="2" t="s">
        <v>72</v>
      </c>
      <c r="E10" s="2" t="s">
        <v>73</v>
      </c>
      <c r="F10" s="3" t="s">
        <v>74</v>
      </c>
      <c r="G10" s="2">
        <v>9876543218</v>
      </c>
      <c r="H10" s="2" t="s">
        <v>25</v>
      </c>
      <c r="I10" t="str">
        <f t="shared" si="0"/>
        <v>FATHIMA ALI</v>
      </c>
      <c r="J10" t="str">
        <f t="shared" si="1"/>
        <v>fathima ali</v>
      </c>
    </row>
    <row r="11" ht="43.2" spans="1:20">
      <c r="A11" s="2" t="s">
        <v>75</v>
      </c>
      <c r="B11" s="2" t="s">
        <v>76</v>
      </c>
      <c r="C11" s="2" t="s">
        <v>28</v>
      </c>
      <c r="D11" s="2" t="s">
        <v>77</v>
      </c>
      <c r="E11" s="2" t="s">
        <v>78</v>
      </c>
      <c r="F11" s="3" t="s">
        <v>79</v>
      </c>
      <c r="G11" s="2">
        <v>9876543219</v>
      </c>
      <c r="H11" s="2" t="s">
        <v>45</v>
      </c>
      <c r="I11" t="str">
        <f t="shared" si="0"/>
        <v>AKHIL RAJ</v>
      </c>
      <c r="J11" t="str">
        <f t="shared" si="1"/>
        <v>akhil raj</v>
      </c>
    </row>
    <row r="12" ht="57.6" spans="1:20">
      <c r="A12" s="2" t="s">
        <v>80</v>
      </c>
      <c r="B12" s="2" t="s">
        <v>81</v>
      </c>
      <c r="C12" s="2" t="s">
        <v>21</v>
      </c>
      <c r="D12" s="2" t="s">
        <v>22</v>
      </c>
      <c r="E12" s="2" t="s">
        <v>82</v>
      </c>
      <c r="F12" s="3" t="s">
        <v>83</v>
      </c>
      <c r="G12" s="2">
        <v>9876543220</v>
      </c>
      <c r="H12" s="2" t="s">
        <v>39</v>
      </c>
      <c r="I12" t="str">
        <f t="shared" si="0"/>
        <v>LAKSHMI MENON</v>
      </c>
      <c r="J12" t="str">
        <f t="shared" si="1"/>
        <v>lakshmi menon</v>
      </c>
    </row>
    <row r="13" ht="43.2" spans="1:20">
      <c r="A13" s="2" t="s">
        <v>84</v>
      </c>
      <c r="B13" s="2" t="s">
        <v>85</v>
      </c>
      <c r="C13" s="2" t="s">
        <v>54</v>
      </c>
      <c r="D13" s="2" t="s">
        <v>86</v>
      </c>
      <c r="E13" s="2" t="s">
        <v>87</v>
      </c>
      <c r="F13" s="3" t="s">
        <v>88</v>
      </c>
      <c r="G13" s="2">
        <v>9876543221</v>
      </c>
      <c r="H13" s="2" t="s">
        <v>32</v>
      </c>
      <c r="I13" t="str">
        <f t="shared" si="0"/>
        <v>SURESH BABU</v>
      </c>
      <c r="J13" t="str">
        <f t="shared" si="1"/>
        <v>suresh babu</v>
      </c>
    </row>
    <row r="14" ht="43.2" spans="1:20">
      <c r="A14" s="2" t="s">
        <v>89</v>
      </c>
      <c r="B14" s="2" t="s">
        <v>90</v>
      </c>
      <c r="C14" s="2" t="s">
        <v>35</v>
      </c>
      <c r="D14" s="2" t="s">
        <v>91</v>
      </c>
      <c r="E14" s="2" t="s">
        <v>92</v>
      </c>
      <c r="F14" s="3" t="s">
        <v>93</v>
      </c>
      <c r="G14" s="2">
        <v>9876543222</v>
      </c>
      <c r="H14" s="2" t="s">
        <v>69</v>
      </c>
      <c r="J14" t="str">
        <f t="shared" si="1"/>
        <v>neha krishnan</v>
      </c>
    </row>
    <row r="15" ht="43.2" spans="1:20">
      <c r="A15" s="2" t="s">
        <v>94</v>
      </c>
      <c r="B15" s="2" t="s">
        <v>95</v>
      </c>
      <c r="C15" s="2" t="s">
        <v>28</v>
      </c>
      <c r="D15" s="2" t="s">
        <v>96</v>
      </c>
      <c r="E15" s="2" t="s">
        <v>97</v>
      </c>
      <c r="F15" s="3" t="s">
        <v>98</v>
      </c>
      <c r="G15" s="2">
        <v>9876543223</v>
      </c>
      <c r="H15" s="2" t="s">
        <v>51</v>
      </c>
      <c r="J15" t="str">
        <f t="shared" si="1"/>
        <v>manu mohan</v>
      </c>
    </row>
    <row r="16" ht="57.6" spans="1:20">
      <c r="A16" s="2" t="s">
        <v>99</v>
      </c>
      <c r="B16" s="2" t="s">
        <v>100</v>
      </c>
      <c r="C16" s="2" t="s">
        <v>21</v>
      </c>
      <c r="D16" s="2" t="s">
        <v>101</v>
      </c>
      <c r="E16" s="2" t="s">
        <v>102</v>
      </c>
      <c r="F16" s="3" t="s">
        <v>103</v>
      </c>
      <c r="G16" s="2">
        <v>9876543224</v>
      </c>
      <c r="H16" s="2" t="s">
        <v>58</v>
      </c>
      <c r="J16" t="str">
        <f t="shared" si="1"/>
        <v>riya paul</v>
      </c>
    </row>
    <row r="17" ht="18" spans="1:10">
      <c r="A17" s="5" t="s">
        <v>104</v>
      </c>
      <c r="J17" t="str">
        <f t="shared" si="1"/>
        <v/>
      </c>
    </row>
    <row r="18" spans="1:10">
      <c r="J18" t="str">
        <f t="shared" si="1"/>
        <v/>
      </c>
    </row>
    <row r="19" spans="1:10">
      <c r="A19" s="6" t="s">
        <v>105</v>
      </c>
      <c r="J19" t="str">
        <f t="shared" si="1"/>
        <v/>
      </c>
    </row>
    <row r="20" spans="1:10">
      <c r="J20" t="str">
        <f t="shared" si="1"/>
        <v/>
      </c>
    </row>
    <row r="21" spans="1:10">
      <c r="A21" s="6" t="s">
        <v>106</v>
      </c>
      <c r="J21" t="str">
        <f t="shared" si="1"/>
        <v/>
      </c>
    </row>
    <row r="22" spans="1:10">
      <c r="J22" t="str">
        <f t="shared" si="1"/>
        <v/>
      </c>
    </row>
    <row r="23" spans="1:10">
      <c r="J23" t="str">
        <f t="shared" si="1"/>
        <v/>
      </c>
    </row>
    <row r="24" spans="1:10">
      <c r="J24" t="str">
        <f t="shared" si="1"/>
        <v/>
      </c>
    </row>
    <row r="25" ht="18" spans="1:10">
      <c r="A25" s="5" t="s">
        <v>107</v>
      </c>
      <c r="J25" t="str">
        <f t="shared" si="1"/>
        <v/>
      </c>
    </row>
    <row r="26" spans="1:10">
      <c r="J26" t="str">
        <f t="shared" si="1"/>
        <v/>
      </c>
    </row>
    <row r="27" spans="1:10">
      <c r="A27" s="6" t="s">
        <v>108</v>
      </c>
      <c r="J27" t="str">
        <f t="shared" si="1"/>
        <v/>
      </c>
    </row>
    <row r="28" spans="1:10">
      <c r="J28" t="str">
        <f t="shared" si="1"/>
        <v/>
      </c>
    </row>
    <row r="29" spans="1:10">
      <c r="A29" s="6" t="s">
        <v>109</v>
      </c>
      <c r="J29" t="str">
        <f t="shared" si="1"/>
        <v/>
      </c>
    </row>
    <row r="30" spans="1:10">
      <c r="J30" t="str">
        <f t="shared" si="1"/>
        <v/>
      </c>
    </row>
    <row r="31" spans="1:10">
      <c r="J31" t="str">
        <f t="shared" si="1"/>
        <v/>
      </c>
    </row>
    <row r="32" spans="1:10">
      <c r="J32" t="str">
        <f t="shared" si="1"/>
        <v/>
      </c>
    </row>
    <row r="33" ht="18" spans="1:10">
      <c r="A33" s="5" t="s">
        <v>110</v>
      </c>
      <c r="J33" t="str">
        <f t="shared" si="1"/>
        <v/>
      </c>
    </row>
    <row r="34" spans="1:10">
      <c r="J34" t="str">
        <f t="shared" si="1"/>
        <v/>
      </c>
    </row>
    <row r="35" spans="1:10">
      <c r="A35" s="6" t="s">
        <v>111</v>
      </c>
      <c r="J35" t="str">
        <f t="shared" si="1"/>
        <v/>
      </c>
    </row>
    <row r="36" spans="1:10">
      <c r="J36" t="str">
        <f t="shared" si="1"/>
        <v/>
      </c>
    </row>
    <row r="37" spans="1:10">
      <c r="A37" s="6" t="s">
        <v>112</v>
      </c>
      <c r="J37" t="str">
        <f t="shared" si="1"/>
        <v/>
      </c>
    </row>
    <row r="38" spans="1:10">
      <c r="J38" t="str">
        <f t="shared" si="1"/>
        <v/>
      </c>
    </row>
    <row r="39" spans="1:10">
      <c r="J39" t="str">
        <f t="shared" si="1"/>
        <v/>
      </c>
    </row>
    <row r="40" spans="1:10">
      <c r="J40" t="str">
        <f t="shared" si="1"/>
        <v/>
      </c>
    </row>
    <row r="41" ht="18" spans="1:10">
      <c r="A41" s="5" t="s">
        <v>113</v>
      </c>
      <c r="J41" t="str">
        <f t="shared" si="1"/>
        <v/>
      </c>
    </row>
    <row r="42" spans="1:10">
      <c r="J42" t="str">
        <f t="shared" si="1"/>
        <v/>
      </c>
    </row>
    <row r="43" spans="1:10">
      <c r="A43" s="6" t="s">
        <v>114</v>
      </c>
      <c r="J43" t="str">
        <f t="shared" si="1"/>
        <v/>
      </c>
    </row>
    <row r="44" spans="1:10">
      <c r="J44" t="str">
        <f t="shared" si="1"/>
        <v/>
      </c>
    </row>
    <row r="45" spans="1:10">
      <c r="A45" s="6" t="s">
        <v>115</v>
      </c>
      <c r="J45" t="str">
        <f t="shared" si="1"/>
        <v/>
      </c>
    </row>
    <row r="47" spans="1:10">
      <c r="A47" s="6" t="s">
        <v>116</v>
      </c>
    </row>
    <row r="51" ht="18" spans="1:1">
      <c r="A51" s="5" t="s">
        <v>117</v>
      </c>
    </row>
    <row r="53" spans="1:1">
      <c r="A53" s="6" t="s">
        <v>118</v>
      </c>
    </row>
    <row r="55" spans="1:1">
      <c r="A55" t="s">
        <v>119</v>
      </c>
    </row>
    <row r="57" spans="1:1">
      <c r="A57" s="7" t="s">
        <v>120</v>
      </c>
    </row>
    <row r="59" spans="1:1">
      <c r="A59" s="6" t="s">
        <v>121</v>
      </c>
    </row>
    <row r="61" spans="1:1">
      <c r="A61" s="6" t="s">
        <v>122</v>
      </c>
    </row>
    <row r="63" spans="1:1">
      <c r="A63" t="s">
        <v>119</v>
      </c>
    </row>
    <row r="65" spans="1:1">
      <c r="A65" s="7" t="s">
        <v>123</v>
      </c>
    </row>
    <row r="69" ht="18" spans="1:1">
      <c r="A69" s="5" t="s">
        <v>124</v>
      </c>
    </row>
    <row r="71" spans="1:1">
      <c r="A71" s="6" t="s">
        <v>125</v>
      </c>
    </row>
    <row r="73" spans="1:1">
      <c r="A73" t="s">
        <v>119</v>
      </c>
    </row>
    <row r="75" spans="1:1">
      <c r="A75" s="7" t="s">
        <v>126</v>
      </c>
    </row>
    <row r="77" spans="1:1">
      <c r="A77" s="6" t="s">
        <v>127</v>
      </c>
    </row>
    <row r="79" spans="1:1">
      <c r="A79" s="6" t="s">
        <v>128</v>
      </c>
    </row>
    <row r="83" ht="18" spans="1:1">
      <c r="A83" s="5" t="s">
        <v>129</v>
      </c>
    </row>
    <row r="85" spans="1:1">
      <c r="A85" s="6" t="s">
        <v>130</v>
      </c>
    </row>
    <row r="87" spans="1:1">
      <c r="A87" t="s">
        <v>119</v>
      </c>
    </row>
    <row r="89" spans="1:1">
      <c r="A89" s="7" t="s">
        <v>131</v>
      </c>
    </row>
    <row r="91" spans="1:1">
      <c r="A91" s="6" t="s">
        <v>132</v>
      </c>
    </row>
    <row r="95" ht="18" spans="1:1">
      <c r="A95" s="5" t="s">
        <v>133</v>
      </c>
    </row>
    <row r="97" spans="1:1">
      <c r="A97" s="6" t="s">
        <v>134</v>
      </c>
    </row>
    <row r="99" spans="1:1">
      <c r="A99" s="6" t="s">
        <v>135</v>
      </c>
    </row>
    <row r="101" spans="1:1">
      <c r="A101" s="6" t="s">
        <v>136</v>
      </c>
    </row>
    <row r="105" ht="18" spans="1:1">
      <c r="A105" s="5" t="s">
        <v>137</v>
      </c>
    </row>
    <row r="107" spans="1:1">
      <c r="A107" s="6" t="s">
        <v>138</v>
      </c>
    </row>
    <row r="109" spans="1:1">
      <c r="A109" s="6" t="s">
        <v>139</v>
      </c>
    </row>
    <row r="113" ht="18" spans="1:1">
      <c r="A113" s="5" t="s">
        <v>140</v>
      </c>
    </row>
    <row r="115" spans="1:1">
      <c r="A115" s="6" t="s">
        <v>141</v>
      </c>
    </row>
    <row r="117" spans="1:1">
      <c r="A117" t="s">
        <v>119</v>
      </c>
    </row>
    <row r="119" spans="1:1">
      <c r="A119" s="7" t="s">
        <v>142</v>
      </c>
    </row>
    <row r="121" spans="1:1">
      <c r="A121" s="6" t="s">
        <v>143</v>
      </c>
    </row>
    <row r="123" spans="1:1">
      <c r="A123" t="s">
        <v>119</v>
      </c>
    </row>
    <row r="125" spans="1:1">
      <c r="A125" s="7" t="s">
        <v>144</v>
      </c>
    </row>
    <row r="127" spans="1:1">
      <c r="A127" s="6" t="s">
        <v>145</v>
      </c>
    </row>
    <row r="129" spans="1:1">
      <c r="A129" t="s">
        <v>119</v>
      </c>
    </row>
    <row r="131" spans="1:1">
      <c r="A131" s="7" t="s">
        <v>146</v>
      </c>
    </row>
    <row r="135" ht="18" spans="1:1">
      <c r="A135" s="5" t="s">
        <v>147</v>
      </c>
    </row>
    <row r="137" spans="1:1">
      <c r="A137" s="6" t="s">
        <v>148</v>
      </c>
    </row>
    <row r="139" spans="1:1">
      <c r="A139" s="6" t="s">
        <v>149</v>
      </c>
    </row>
    <row r="141" spans="1:1">
      <c r="A141" s="6" t="s">
        <v>150</v>
      </c>
    </row>
    <row r="145" ht="18" spans="1:1">
      <c r="A145" s="5" t="s">
        <v>151</v>
      </c>
    </row>
    <row r="147" spans="1:1">
      <c r="A147" s="6" t="s">
        <v>152</v>
      </c>
    </row>
    <row r="149" spans="1:1">
      <c r="A149" t="s">
        <v>119</v>
      </c>
    </row>
    <row r="151" spans="1:1">
      <c r="A151" s="7" t="s">
        <v>153</v>
      </c>
    </row>
    <row r="153" spans="1:1">
      <c r="A153" s="6" t="s">
        <v>154</v>
      </c>
    </row>
    <row r="155" spans="1:1">
      <c r="A155" t="s">
        <v>119</v>
      </c>
    </row>
    <row r="157" spans="1:1">
      <c r="A157" s="7" t="s">
        <v>155</v>
      </c>
    </row>
  </sheetData>
  <hyperlinks>
    <hyperlink ref="F2" r:id="rId1" display="anu.kumari@gmail.com"/>
    <hyperlink ref="F3" r:id="rId2" display="rahul.menon@gmail.com"/>
    <hyperlink ref="F4" r:id="rId3" display="meera.nair@gmail.com"/>
    <hyperlink ref="F5" r:id="rId4" display="arun.kumar@gmail.com"/>
    <hyperlink ref="F6" r:id="rId5" display="sneha.jose@gmail.com"/>
    <hyperlink ref="F7" r:id="rId6" display="vishnu.das@gmail.com"/>
    <hyperlink ref="F8" r:id="rId7" display="diya.roy@gmail.com"/>
    <hyperlink ref="F9" r:id="rId8" display="nikhil.varma@gmail.com"/>
    <hyperlink ref="F10" r:id="rId9" display="fathima.ali@gmail.com"/>
    <hyperlink ref="F11" r:id="rId10" display="akhil.raj@gmail.com"/>
    <hyperlink ref="F12" r:id="rId11" display="lakshmi.menon@gmail.com"/>
    <hyperlink ref="F13" r:id="rId12" display="suresh.babu@gmail.com"/>
    <hyperlink ref="F14" r:id="rId13" display="neha.krishnan@gmail.com"/>
    <hyperlink ref="F15" r:id="rId14" display="manu.mohan@gmail.com"/>
    <hyperlink ref="F16" r:id="rId15" display="riya.paul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LIJO S CHACKO</dc:creator>
  <cp:lastModifiedBy>lijo123</cp:lastModifiedBy>
  <dcterms:created xsi:type="dcterms:W3CDTF">2026-09-20T16:42:00Z</dcterms:created>
  <dcterms:modified xsi:type="dcterms:W3CDTF">2026-09-21T17:09:35Z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1A05FE772EEF41749E7859D85AF43B24_12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